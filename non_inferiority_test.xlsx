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PhD/paper6/"/>
    </mc:Choice>
  </mc:AlternateContent>
  <xr:revisionPtr revIDLastSave="0" documentId="13_ncr:1_{EB5BBB57-5BFA-4041-BB54-A473A084D2CB}" xr6:coauthVersionLast="36" xr6:coauthVersionMax="36" xr10:uidLastSave="{00000000-0000-0000-0000-000000000000}"/>
  <bookViews>
    <workbookView xWindow="0" yWindow="0" windowWidth="25600" windowHeight="16000" xr2:uid="{E9900AB6-74B9-1348-AC9F-9C5A09E1FE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06" i="1" l="1"/>
  <c r="D306" i="1"/>
  <c r="E306" i="1" s="1"/>
  <c r="G306" i="1" s="1"/>
  <c r="D305" i="1"/>
  <c r="G304" i="1"/>
  <c r="F304" i="1"/>
  <c r="D304" i="1"/>
  <c r="E304" i="1" s="1"/>
  <c r="D303" i="1"/>
  <c r="F303" i="1" s="1"/>
  <c r="F302" i="1"/>
  <c r="G302" i="1" s="1"/>
  <c r="D302" i="1"/>
  <c r="E302" i="1" s="1"/>
  <c r="H301" i="1"/>
  <c r="E301" i="1"/>
  <c r="G301" i="1" s="1"/>
  <c r="D301" i="1"/>
  <c r="F301" i="1" s="1"/>
  <c r="F300" i="1"/>
  <c r="D300" i="1"/>
  <c r="E300" i="1" s="1"/>
  <c r="G300" i="1" s="1"/>
  <c r="E299" i="1"/>
  <c r="D299" i="1"/>
  <c r="F298" i="1"/>
  <c r="D298" i="1"/>
  <c r="E298" i="1" s="1"/>
  <c r="G298" i="1" s="1"/>
  <c r="D297" i="1"/>
  <c r="G296" i="1"/>
  <c r="F296" i="1"/>
  <c r="D296" i="1"/>
  <c r="E296" i="1" s="1"/>
  <c r="D295" i="1"/>
  <c r="F295" i="1" s="1"/>
  <c r="G294" i="1"/>
  <c r="F294" i="1"/>
  <c r="D294" i="1"/>
  <c r="E294" i="1" s="1"/>
  <c r="E293" i="1"/>
  <c r="G293" i="1" s="1"/>
  <c r="D293" i="1"/>
  <c r="F293" i="1" s="1"/>
  <c r="F292" i="1"/>
  <c r="D292" i="1"/>
  <c r="E292" i="1" s="1"/>
  <c r="G292" i="1" s="1"/>
  <c r="E291" i="1"/>
  <c r="D291" i="1"/>
  <c r="F290" i="1"/>
  <c r="D290" i="1"/>
  <c r="E290" i="1" s="1"/>
  <c r="G290" i="1" s="1"/>
  <c r="D289" i="1"/>
  <c r="G288" i="1"/>
  <c r="F288" i="1"/>
  <c r="D288" i="1"/>
  <c r="E288" i="1" s="1"/>
  <c r="D287" i="1"/>
  <c r="F287" i="1" s="1"/>
  <c r="G286" i="1"/>
  <c r="F286" i="1"/>
  <c r="D286" i="1"/>
  <c r="E286" i="1" s="1"/>
  <c r="E285" i="1"/>
  <c r="G285" i="1" s="1"/>
  <c r="D285" i="1"/>
  <c r="F285" i="1" s="1"/>
  <c r="F284" i="1"/>
  <c r="D284" i="1"/>
  <c r="E284" i="1" s="1"/>
  <c r="E283" i="1"/>
  <c r="D283" i="1"/>
  <c r="F282" i="1"/>
  <c r="D282" i="1"/>
  <c r="E282" i="1" s="1"/>
  <c r="G282" i="1" s="1"/>
  <c r="D281" i="1"/>
  <c r="G280" i="1"/>
  <c r="F280" i="1"/>
  <c r="D280" i="1"/>
  <c r="E280" i="1" s="1"/>
  <c r="D279" i="1"/>
  <c r="F279" i="1" s="1"/>
  <c r="G278" i="1"/>
  <c r="F278" i="1"/>
  <c r="D278" i="1"/>
  <c r="E278" i="1" s="1"/>
  <c r="H277" i="1"/>
  <c r="E277" i="1"/>
  <c r="G277" i="1" s="1"/>
  <c r="D277" i="1"/>
  <c r="F277" i="1" s="1"/>
  <c r="F276" i="1"/>
  <c r="D276" i="1"/>
  <c r="E276" i="1" s="1"/>
  <c r="F275" i="1"/>
  <c r="H275" i="1" s="1"/>
  <c r="E275" i="1"/>
  <c r="D275" i="1"/>
  <c r="F274" i="1"/>
  <c r="H274" i="1" s="1"/>
  <c r="D274" i="1"/>
  <c r="E274" i="1" s="1"/>
  <c r="F273" i="1"/>
  <c r="D273" i="1"/>
  <c r="E273" i="1" s="1"/>
  <c r="G273" i="1" s="1"/>
  <c r="D272" i="1"/>
  <c r="E272" i="1" s="1"/>
  <c r="D271" i="1"/>
  <c r="D270" i="1"/>
  <c r="D269" i="1"/>
  <c r="E269" i="1" s="1"/>
  <c r="F268" i="1"/>
  <c r="D268" i="1"/>
  <c r="F267" i="1"/>
  <c r="E267" i="1"/>
  <c r="G267" i="1" s="1"/>
  <c r="D267" i="1"/>
  <c r="F266" i="1"/>
  <c r="D266" i="1"/>
  <c r="E266" i="1" s="1"/>
  <c r="H265" i="1"/>
  <c r="F265" i="1"/>
  <c r="D265" i="1"/>
  <c r="E265" i="1" s="1"/>
  <c r="G265" i="1" s="1"/>
  <c r="D264" i="1"/>
  <c r="E264" i="1" s="1"/>
  <c r="D263" i="1"/>
  <c r="D262" i="1"/>
  <c r="E261" i="1"/>
  <c r="D261" i="1"/>
  <c r="D260" i="1"/>
  <c r="F259" i="1"/>
  <c r="H259" i="1" s="1"/>
  <c r="E259" i="1"/>
  <c r="D259" i="1"/>
  <c r="G258" i="1"/>
  <c r="I258" i="1" s="1"/>
  <c r="F258" i="1"/>
  <c r="H258" i="1" s="1"/>
  <c r="D258" i="1"/>
  <c r="E258" i="1" s="1"/>
  <c r="F257" i="1"/>
  <c r="H257" i="1" s="1"/>
  <c r="D257" i="1"/>
  <c r="E257" i="1" s="1"/>
  <c r="D256" i="1"/>
  <c r="E256" i="1" s="1"/>
  <c r="D255" i="1"/>
  <c r="D254" i="1"/>
  <c r="E253" i="1"/>
  <c r="D253" i="1"/>
  <c r="F252" i="1"/>
  <c r="D252" i="1"/>
  <c r="F251" i="1"/>
  <c r="H251" i="1" s="1"/>
  <c r="E251" i="1"/>
  <c r="D251" i="1"/>
  <c r="F250" i="1"/>
  <c r="D250" i="1"/>
  <c r="E250" i="1" s="1"/>
  <c r="G250" i="1" s="1"/>
  <c r="E249" i="1"/>
  <c r="D249" i="1"/>
  <c r="G248" i="1"/>
  <c r="F248" i="1"/>
  <c r="D248" i="1"/>
  <c r="E248" i="1" s="1"/>
  <c r="D247" i="1"/>
  <c r="G246" i="1"/>
  <c r="F246" i="1"/>
  <c r="D246" i="1"/>
  <c r="E246" i="1" s="1"/>
  <c r="H245" i="1"/>
  <c r="I245" i="1" s="1"/>
  <c r="E245" i="1"/>
  <c r="G245" i="1" s="1"/>
  <c r="D245" i="1"/>
  <c r="F245" i="1" s="1"/>
  <c r="F244" i="1"/>
  <c r="G244" i="1" s="1"/>
  <c r="D244" i="1"/>
  <c r="E244" i="1" s="1"/>
  <c r="D243" i="1"/>
  <c r="F243" i="1" s="1"/>
  <c r="F242" i="1"/>
  <c r="D242" i="1"/>
  <c r="E242" i="1" s="1"/>
  <c r="G242" i="1" s="1"/>
  <c r="E241" i="1"/>
  <c r="D241" i="1"/>
  <c r="G240" i="1"/>
  <c r="F240" i="1"/>
  <c r="D240" i="1"/>
  <c r="E240" i="1" s="1"/>
  <c r="D239" i="1"/>
  <c r="G238" i="1"/>
  <c r="F238" i="1"/>
  <c r="D238" i="1"/>
  <c r="E238" i="1" s="1"/>
  <c r="H237" i="1"/>
  <c r="I237" i="1" s="1"/>
  <c r="E237" i="1"/>
  <c r="G237" i="1" s="1"/>
  <c r="D237" i="1"/>
  <c r="F237" i="1" s="1"/>
  <c r="F236" i="1"/>
  <c r="G236" i="1" s="1"/>
  <c r="D236" i="1"/>
  <c r="E236" i="1" s="1"/>
  <c r="D235" i="1"/>
  <c r="F234" i="1"/>
  <c r="D234" i="1"/>
  <c r="E234" i="1" s="1"/>
  <c r="G234" i="1" s="1"/>
  <c r="E233" i="1"/>
  <c r="D233" i="1"/>
  <c r="G232" i="1"/>
  <c r="F232" i="1"/>
  <c r="D232" i="1"/>
  <c r="E232" i="1" s="1"/>
  <c r="D231" i="1"/>
  <c r="G230" i="1"/>
  <c r="F230" i="1"/>
  <c r="D230" i="1"/>
  <c r="E230" i="1" s="1"/>
  <c r="H229" i="1"/>
  <c r="E229" i="1"/>
  <c r="G229" i="1" s="1"/>
  <c r="I229" i="1" s="1"/>
  <c r="D229" i="1"/>
  <c r="F229" i="1" s="1"/>
  <c r="F228" i="1"/>
  <c r="D228" i="1"/>
  <c r="E228" i="1" s="1"/>
  <c r="G228" i="1" s="1"/>
  <c r="D227" i="1"/>
  <c r="F226" i="1"/>
  <c r="D226" i="1"/>
  <c r="E226" i="1" s="1"/>
  <c r="G226" i="1" s="1"/>
  <c r="E225" i="1"/>
  <c r="D225" i="1"/>
  <c r="F224" i="1"/>
  <c r="D224" i="1"/>
  <c r="E224" i="1" s="1"/>
  <c r="G224" i="1" s="1"/>
  <c r="D223" i="1"/>
  <c r="G222" i="1"/>
  <c r="F222" i="1"/>
  <c r="D222" i="1"/>
  <c r="E222" i="1" s="1"/>
  <c r="H221" i="1"/>
  <c r="E221" i="1"/>
  <c r="G221" i="1" s="1"/>
  <c r="I221" i="1" s="1"/>
  <c r="D221" i="1"/>
  <c r="F221" i="1" s="1"/>
  <c r="F220" i="1"/>
  <c r="D220" i="1"/>
  <c r="E220" i="1" s="1"/>
  <c r="G220" i="1" s="1"/>
  <c r="D219" i="1"/>
  <c r="F218" i="1"/>
  <c r="D218" i="1"/>
  <c r="E218" i="1" s="1"/>
  <c r="G218" i="1" s="1"/>
  <c r="E217" i="1"/>
  <c r="D217" i="1"/>
  <c r="F216" i="1"/>
  <c r="D216" i="1"/>
  <c r="E216" i="1" s="1"/>
  <c r="G216" i="1" s="1"/>
  <c r="D215" i="1"/>
  <c r="G214" i="1"/>
  <c r="F214" i="1"/>
  <c r="D214" i="1"/>
  <c r="E214" i="1" s="1"/>
  <c r="H213" i="1"/>
  <c r="E213" i="1"/>
  <c r="G213" i="1" s="1"/>
  <c r="I213" i="1" s="1"/>
  <c r="D213" i="1"/>
  <c r="F213" i="1" s="1"/>
  <c r="F212" i="1"/>
  <c r="D212" i="1"/>
  <c r="E212" i="1" s="1"/>
  <c r="D211" i="1"/>
  <c r="F210" i="1"/>
  <c r="D210" i="1"/>
  <c r="E210" i="1" s="1"/>
  <c r="G210" i="1" s="1"/>
  <c r="E209" i="1"/>
  <c r="D209" i="1"/>
  <c r="G208" i="1"/>
  <c r="F208" i="1"/>
  <c r="D208" i="1"/>
  <c r="E208" i="1" s="1"/>
  <c r="D207" i="1"/>
  <c r="G206" i="1"/>
  <c r="F206" i="1"/>
  <c r="D206" i="1"/>
  <c r="E206" i="1" s="1"/>
  <c r="H205" i="1"/>
  <c r="E205" i="1"/>
  <c r="G205" i="1" s="1"/>
  <c r="D205" i="1"/>
  <c r="F205" i="1" s="1"/>
  <c r="F204" i="1"/>
  <c r="D204" i="1"/>
  <c r="E204" i="1" s="1"/>
  <c r="G204" i="1" s="1"/>
  <c r="D203" i="1"/>
  <c r="F202" i="1"/>
  <c r="D202" i="1"/>
  <c r="F201" i="1"/>
  <c r="E201" i="1"/>
  <c r="D201" i="1"/>
  <c r="F200" i="1"/>
  <c r="G200" i="1" s="1"/>
  <c r="D200" i="1"/>
  <c r="E200" i="1" s="1"/>
  <c r="F199" i="1"/>
  <c r="H199" i="1" s="1"/>
  <c r="D199" i="1"/>
  <c r="E199" i="1" s="1"/>
  <c r="D198" i="1"/>
  <c r="D197" i="1"/>
  <c r="F196" i="1"/>
  <c r="D196" i="1"/>
  <c r="E196" i="1" s="1"/>
  <c r="E195" i="1"/>
  <c r="D195" i="1"/>
  <c r="F195" i="1" s="1"/>
  <c r="D194" i="1"/>
  <c r="F193" i="1"/>
  <c r="H193" i="1" s="1"/>
  <c r="E193" i="1"/>
  <c r="D193" i="1"/>
  <c r="H192" i="1"/>
  <c r="G192" i="1"/>
  <c r="I192" i="1" s="1"/>
  <c r="F192" i="1"/>
  <c r="D192" i="1"/>
  <c r="E192" i="1" s="1"/>
  <c r="D191" i="1"/>
  <c r="D190" i="1"/>
  <c r="E189" i="1"/>
  <c r="G189" i="1" s="1"/>
  <c r="D189" i="1"/>
  <c r="F189" i="1" s="1"/>
  <c r="D188" i="1"/>
  <c r="F187" i="1"/>
  <c r="E187" i="1"/>
  <c r="D187" i="1"/>
  <c r="D186" i="1"/>
  <c r="H185" i="1"/>
  <c r="F185" i="1"/>
  <c r="E185" i="1"/>
  <c r="G185" i="1" s="1"/>
  <c r="D185" i="1"/>
  <c r="D184" i="1"/>
  <c r="F183" i="1"/>
  <c r="D183" i="1"/>
  <c r="F182" i="1"/>
  <c r="D182" i="1"/>
  <c r="H181" i="1"/>
  <c r="F181" i="1"/>
  <c r="E181" i="1"/>
  <c r="G181" i="1" s="1"/>
  <c r="D181" i="1"/>
  <c r="H180" i="1"/>
  <c r="F180" i="1"/>
  <c r="G180" i="1" s="1"/>
  <c r="I180" i="1" s="1"/>
  <c r="D180" i="1"/>
  <c r="E180" i="1" s="1"/>
  <c r="F179" i="1"/>
  <c r="H179" i="1" s="1"/>
  <c r="D179" i="1"/>
  <c r="E179" i="1" s="1"/>
  <c r="D178" i="1"/>
  <c r="H177" i="1"/>
  <c r="E177" i="1"/>
  <c r="G177" i="1" s="1"/>
  <c r="D177" i="1"/>
  <c r="F177" i="1" s="1"/>
  <c r="D176" i="1"/>
  <c r="D175" i="1"/>
  <c r="D174" i="1"/>
  <c r="F173" i="1"/>
  <c r="H173" i="1" s="1"/>
  <c r="E173" i="1"/>
  <c r="D173" i="1"/>
  <c r="H172" i="1"/>
  <c r="G172" i="1"/>
  <c r="I172" i="1" s="1"/>
  <c r="F172" i="1"/>
  <c r="D172" i="1"/>
  <c r="E172" i="1" s="1"/>
  <c r="D171" i="1"/>
  <c r="D170" i="1"/>
  <c r="I169" i="1"/>
  <c r="H169" i="1"/>
  <c r="E169" i="1"/>
  <c r="G169" i="1" s="1"/>
  <c r="D169" i="1"/>
  <c r="F169" i="1" s="1"/>
  <c r="H168" i="1"/>
  <c r="F168" i="1"/>
  <c r="D168" i="1"/>
  <c r="E168" i="1" s="1"/>
  <c r="D167" i="1"/>
  <c r="D166" i="1"/>
  <c r="F165" i="1"/>
  <c r="H165" i="1" s="1"/>
  <c r="D165" i="1"/>
  <c r="E165" i="1" s="1"/>
  <c r="F164" i="1"/>
  <c r="E164" i="1"/>
  <c r="D164" i="1"/>
  <c r="F163" i="1"/>
  <c r="D163" i="1"/>
  <c r="F162" i="1"/>
  <c r="E162" i="1"/>
  <c r="G162" i="1" s="1"/>
  <c r="D162" i="1"/>
  <c r="F161" i="1"/>
  <c r="D161" i="1"/>
  <c r="E161" i="1" s="1"/>
  <c r="F160" i="1"/>
  <c r="D160" i="1"/>
  <c r="D159" i="1"/>
  <c r="D158" i="1"/>
  <c r="D157" i="1"/>
  <c r="E157" i="1" s="1"/>
  <c r="F156" i="1"/>
  <c r="D156" i="1"/>
  <c r="F155" i="1"/>
  <c r="D155" i="1"/>
  <c r="F154" i="1"/>
  <c r="H154" i="1" s="1"/>
  <c r="E154" i="1"/>
  <c r="D154" i="1"/>
  <c r="F153" i="1"/>
  <c r="H153" i="1" s="1"/>
  <c r="D153" i="1"/>
  <c r="E153" i="1" s="1"/>
  <c r="F152" i="1"/>
  <c r="H152" i="1" s="1"/>
  <c r="D152" i="1"/>
  <c r="E152" i="1" s="1"/>
  <c r="D151" i="1"/>
  <c r="D150" i="1"/>
  <c r="D149" i="1"/>
  <c r="D148" i="1"/>
  <c r="D147" i="1"/>
  <c r="F146" i="1"/>
  <c r="H146" i="1" s="1"/>
  <c r="E146" i="1"/>
  <c r="D146" i="1"/>
  <c r="H145" i="1"/>
  <c r="G145" i="1"/>
  <c r="I145" i="1" s="1"/>
  <c r="F145" i="1"/>
  <c r="D145" i="1"/>
  <c r="E145" i="1" s="1"/>
  <c r="D144" i="1"/>
  <c r="E144" i="1" s="1"/>
  <c r="D143" i="1"/>
  <c r="H142" i="1"/>
  <c r="E142" i="1"/>
  <c r="G142" i="1" s="1"/>
  <c r="D142" i="1"/>
  <c r="F142" i="1" s="1"/>
  <c r="D141" i="1"/>
  <c r="E140" i="1"/>
  <c r="D140" i="1"/>
  <c r="D139" i="1"/>
  <c r="H138" i="1"/>
  <c r="F138" i="1"/>
  <c r="E138" i="1"/>
  <c r="G138" i="1" s="1"/>
  <c r="D138" i="1"/>
  <c r="H137" i="1"/>
  <c r="F137" i="1"/>
  <c r="G137" i="1" s="1"/>
  <c r="D137" i="1"/>
  <c r="E137" i="1" s="1"/>
  <c r="D136" i="1"/>
  <c r="D135" i="1"/>
  <c r="D134" i="1"/>
  <c r="F134" i="1" s="1"/>
  <c r="F133" i="1"/>
  <c r="H133" i="1" s="1"/>
  <c r="D133" i="1"/>
  <c r="E133" i="1" s="1"/>
  <c r="F132" i="1"/>
  <c r="E132" i="1"/>
  <c r="D132" i="1"/>
  <c r="F131" i="1"/>
  <c r="D131" i="1"/>
  <c r="F130" i="1"/>
  <c r="E130" i="1"/>
  <c r="G130" i="1" s="1"/>
  <c r="D130" i="1"/>
  <c r="F129" i="1"/>
  <c r="D129" i="1"/>
  <c r="E129" i="1" s="1"/>
  <c r="D128" i="1"/>
  <c r="D127" i="1"/>
  <c r="D126" i="1"/>
  <c r="D125" i="1"/>
  <c r="E125" i="1" s="1"/>
  <c r="F124" i="1"/>
  <c r="D124" i="1"/>
  <c r="F123" i="1"/>
  <c r="D123" i="1"/>
  <c r="F122" i="1"/>
  <c r="H122" i="1" s="1"/>
  <c r="E122" i="1"/>
  <c r="D122" i="1"/>
  <c r="F121" i="1"/>
  <c r="H121" i="1" s="1"/>
  <c r="D121" i="1"/>
  <c r="E121" i="1" s="1"/>
  <c r="F120" i="1"/>
  <c r="H120" i="1" s="1"/>
  <c r="D120" i="1"/>
  <c r="E120" i="1" s="1"/>
  <c r="D119" i="1"/>
  <c r="D118" i="1"/>
  <c r="D117" i="1"/>
  <c r="D116" i="1"/>
  <c r="D115" i="1"/>
  <c r="F114" i="1"/>
  <c r="H114" i="1" s="1"/>
  <c r="E114" i="1"/>
  <c r="D114" i="1"/>
  <c r="H113" i="1"/>
  <c r="G113" i="1"/>
  <c r="I113" i="1" s="1"/>
  <c r="F113" i="1"/>
  <c r="D113" i="1"/>
  <c r="E113" i="1" s="1"/>
  <c r="D112" i="1"/>
  <c r="E112" i="1" s="1"/>
  <c r="D111" i="1"/>
  <c r="H110" i="1"/>
  <c r="E110" i="1"/>
  <c r="G110" i="1" s="1"/>
  <c r="D110" i="1"/>
  <c r="F110" i="1" s="1"/>
  <c r="D109" i="1"/>
  <c r="E108" i="1"/>
  <c r="D108" i="1"/>
  <c r="D107" i="1"/>
  <c r="D106" i="1"/>
  <c r="D105" i="1"/>
  <c r="E104" i="1"/>
  <c r="D104" i="1"/>
  <c r="D103" i="1"/>
  <c r="F103" i="1" s="1"/>
  <c r="F102" i="1"/>
  <c r="H102" i="1" s="1"/>
  <c r="E102" i="1"/>
  <c r="D102" i="1"/>
  <c r="G101" i="1"/>
  <c r="I101" i="1" s="1"/>
  <c r="F101" i="1"/>
  <c r="H101" i="1" s="1"/>
  <c r="D101" i="1"/>
  <c r="E101" i="1" s="1"/>
  <c r="F100" i="1"/>
  <c r="H100" i="1" s="1"/>
  <c r="D100" i="1"/>
  <c r="E100" i="1" s="1"/>
  <c r="D99" i="1"/>
  <c r="E99" i="1" s="1"/>
  <c r="D98" i="1"/>
  <c r="F98" i="1" s="1"/>
  <c r="F97" i="1"/>
  <c r="D97" i="1"/>
  <c r="E97" i="1" s="1"/>
  <c r="G97" i="1" s="1"/>
  <c r="D96" i="1"/>
  <c r="F96" i="1" s="1"/>
  <c r="G95" i="1"/>
  <c r="F95" i="1"/>
  <c r="D95" i="1"/>
  <c r="E95" i="1" s="1"/>
  <c r="H94" i="1"/>
  <c r="E94" i="1"/>
  <c r="G94" i="1" s="1"/>
  <c r="I94" i="1" s="1"/>
  <c r="D94" i="1"/>
  <c r="F94" i="1" s="1"/>
  <c r="F93" i="1"/>
  <c r="D93" i="1"/>
  <c r="E93" i="1" s="1"/>
  <c r="G93" i="1" s="1"/>
  <c r="E92" i="1"/>
  <c r="G92" i="1" s="1"/>
  <c r="D92" i="1"/>
  <c r="F92" i="1" s="1"/>
  <c r="F91" i="1"/>
  <c r="D91" i="1"/>
  <c r="E91" i="1" s="1"/>
  <c r="G91" i="1" s="1"/>
  <c r="D90" i="1"/>
  <c r="F90" i="1" s="1"/>
  <c r="G89" i="1"/>
  <c r="F89" i="1"/>
  <c r="D89" i="1"/>
  <c r="E89" i="1" s="1"/>
  <c r="D88" i="1"/>
  <c r="F88" i="1" s="1"/>
  <c r="G87" i="1"/>
  <c r="F87" i="1"/>
  <c r="D87" i="1"/>
  <c r="E87" i="1" s="1"/>
  <c r="H86" i="1"/>
  <c r="E86" i="1"/>
  <c r="G86" i="1" s="1"/>
  <c r="I86" i="1" s="1"/>
  <c r="D86" i="1"/>
  <c r="F86" i="1" s="1"/>
  <c r="F85" i="1"/>
  <c r="D85" i="1"/>
  <c r="E85" i="1" s="1"/>
  <c r="G85" i="1" s="1"/>
  <c r="E84" i="1"/>
  <c r="G84" i="1" s="1"/>
  <c r="D84" i="1"/>
  <c r="F84" i="1" s="1"/>
  <c r="F83" i="1"/>
  <c r="D83" i="1"/>
  <c r="E83" i="1" s="1"/>
  <c r="G83" i="1" s="1"/>
  <c r="D82" i="1"/>
  <c r="F82" i="1" s="1"/>
  <c r="G81" i="1"/>
  <c r="F81" i="1"/>
  <c r="D81" i="1"/>
  <c r="E81" i="1" s="1"/>
  <c r="D80" i="1"/>
  <c r="F80" i="1" s="1"/>
  <c r="G79" i="1"/>
  <c r="F79" i="1"/>
  <c r="D79" i="1"/>
  <c r="E79" i="1" s="1"/>
  <c r="H78" i="1"/>
  <c r="E78" i="1"/>
  <c r="G78" i="1" s="1"/>
  <c r="I78" i="1" s="1"/>
  <c r="D78" i="1"/>
  <c r="F78" i="1" s="1"/>
  <c r="F77" i="1"/>
  <c r="D77" i="1"/>
  <c r="E77" i="1" s="1"/>
  <c r="G77" i="1" s="1"/>
  <c r="E76" i="1"/>
  <c r="G76" i="1" s="1"/>
  <c r="D76" i="1"/>
  <c r="F76" i="1" s="1"/>
  <c r="F75" i="1"/>
  <c r="D75" i="1"/>
  <c r="E75" i="1" s="1"/>
  <c r="G75" i="1" s="1"/>
  <c r="D74" i="1"/>
  <c r="F74" i="1" s="1"/>
  <c r="G73" i="1"/>
  <c r="F73" i="1"/>
  <c r="D73" i="1"/>
  <c r="E73" i="1" s="1"/>
  <c r="D72" i="1"/>
  <c r="F72" i="1" s="1"/>
  <c r="G71" i="1"/>
  <c r="F71" i="1"/>
  <c r="D71" i="1"/>
  <c r="E71" i="1" s="1"/>
  <c r="H70" i="1"/>
  <c r="E70" i="1"/>
  <c r="G70" i="1" s="1"/>
  <c r="I70" i="1" s="1"/>
  <c r="D70" i="1"/>
  <c r="F70" i="1" s="1"/>
  <c r="F69" i="1"/>
  <c r="D69" i="1"/>
  <c r="E69" i="1" s="1"/>
  <c r="G69" i="1" s="1"/>
  <c r="D68" i="1"/>
  <c r="F68" i="1" s="1"/>
  <c r="F67" i="1"/>
  <c r="D67" i="1"/>
  <c r="E67" i="1" s="1"/>
  <c r="G67" i="1" s="1"/>
  <c r="D66" i="1"/>
  <c r="F66" i="1" s="1"/>
  <c r="G65" i="1"/>
  <c r="F65" i="1"/>
  <c r="D65" i="1"/>
  <c r="E65" i="1" s="1"/>
  <c r="D64" i="1"/>
  <c r="F64" i="1" s="1"/>
  <c r="F63" i="1"/>
  <c r="G63" i="1" s="1"/>
  <c r="D63" i="1"/>
  <c r="E63" i="1" s="1"/>
  <c r="F62" i="1"/>
  <c r="D62" i="1"/>
  <c r="E62" i="1" s="1"/>
  <c r="G62" i="1" s="1"/>
  <c r="D61" i="1"/>
  <c r="E61" i="1" s="1"/>
  <c r="D60" i="1"/>
  <c r="F60" i="1" s="1"/>
  <c r="D59" i="1"/>
  <c r="E59" i="1" s="1"/>
  <c r="D58" i="1"/>
  <c r="F58" i="1" s="1"/>
  <c r="D57" i="1"/>
  <c r="E57" i="1" s="1"/>
  <c r="F56" i="1"/>
  <c r="H56" i="1" s="1"/>
  <c r="E56" i="1"/>
  <c r="G56" i="1" s="1"/>
  <c r="I56" i="1" s="1"/>
  <c r="D56" i="1"/>
  <c r="F55" i="1"/>
  <c r="G55" i="1" s="1"/>
  <c r="D55" i="1"/>
  <c r="E55" i="1" s="1"/>
  <c r="F54" i="1"/>
  <c r="D54" i="1"/>
  <c r="E54" i="1" s="1"/>
  <c r="G54" i="1" s="1"/>
  <c r="D53" i="1"/>
  <c r="E53" i="1" s="1"/>
  <c r="D52" i="1"/>
  <c r="E52" i="1" s="1"/>
  <c r="D51" i="1"/>
  <c r="E51" i="1" s="1"/>
  <c r="D50" i="1"/>
  <c r="F50" i="1" s="1"/>
  <c r="D49" i="1"/>
  <c r="E49" i="1" s="1"/>
  <c r="F48" i="1"/>
  <c r="H48" i="1" s="1"/>
  <c r="E48" i="1"/>
  <c r="G48" i="1" s="1"/>
  <c r="I48" i="1" s="1"/>
  <c r="D48" i="1"/>
  <c r="F47" i="1"/>
  <c r="H47" i="1" s="1"/>
  <c r="D47" i="1"/>
  <c r="E47" i="1" s="1"/>
  <c r="F46" i="1"/>
  <c r="D46" i="1"/>
  <c r="E46" i="1" s="1"/>
  <c r="G46" i="1" s="1"/>
  <c r="D45" i="1"/>
  <c r="E45" i="1" s="1"/>
  <c r="D44" i="1"/>
  <c r="F44" i="1" s="1"/>
  <c r="D43" i="1"/>
  <c r="E43" i="1" s="1"/>
  <c r="D42" i="1"/>
  <c r="D41" i="1"/>
  <c r="E41" i="1" s="1"/>
  <c r="F40" i="1"/>
  <c r="H40" i="1" s="1"/>
  <c r="E40" i="1"/>
  <c r="G40" i="1" s="1"/>
  <c r="I40" i="1" s="1"/>
  <c r="D40" i="1"/>
  <c r="F39" i="1"/>
  <c r="H39" i="1" s="1"/>
  <c r="D39" i="1"/>
  <c r="E39" i="1" s="1"/>
  <c r="F38" i="1"/>
  <c r="D38" i="1"/>
  <c r="E38" i="1" s="1"/>
  <c r="G38" i="1" s="1"/>
  <c r="D37" i="1"/>
  <c r="E37" i="1" s="1"/>
  <c r="D36" i="1"/>
  <c r="E36" i="1" s="1"/>
  <c r="D35" i="1"/>
  <c r="E35" i="1" s="1"/>
  <c r="D34" i="1"/>
  <c r="F34" i="1" s="1"/>
  <c r="D33" i="1"/>
  <c r="E33" i="1" s="1"/>
  <c r="F32" i="1"/>
  <c r="H32" i="1" s="1"/>
  <c r="E32" i="1"/>
  <c r="G32" i="1" s="1"/>
  <c r="I32" i="1" s="1"/>
  <c r="D32" i="1"/>
  <c r="F31" i="1"/>
  <c r="G31" i="1" s="1"/>
  <c r="D31" i="1"/>
  <c r="E31" i="1" s="1"/>
  <c r="F30" i="1"/>
  <c r="D30" i="1"/>
  <c r="E30" i="1" s="1"/>
  <c r="G30" i="1" s="1"/>
  <c r="D29" i="1"/>
  <c r="E29" i="1" s="1"/>
  <c r="D28" i="1"/>
  <c r="F28" i="1" s="1"/>
  <c r="D27" i="1"/>
  <c r="E27" i="1" s="1"/>
  <c r="D26" i="1"/>
  <c r="D25" i="1"/>
  <c r="E25" i="1" s="1"/>
  <c r="F24" i="1"/>
  <c r="D24" i="1"/>
  <c r="E24" i="1" s="1"/>
  <c r="G24" i="1" s="1"/>
  <c r="D23" i="1"/>
  <c r="E23" i="1" s="1"/>
  <c r="F22" i="1"/>
  <c r="D22" i="1"/>
  <c r="D21" i="1"/>
  <c r="F21" i="1" s="1"/>
  <c r="F20" i="1"/>
  <c r="D20" i="1"/>
  <c r="E20" i="1" s="1"/>
  <c r="G20" i="1" s="1"/>
  <c r="D19" i="1"/>
  <c r="F18" i="1"/>
  <c r="D18" i="1"/>
  <c r="F17" i="1"/>
  <c r="D17" i="1"/>
  <c r="F16" i="1"/>
  <c r="D16" i="1"/>
  <c r="E16" i="1" s="1"/>
  <c r="G16" i="1" s="1"/>
  <c r="F15" i="1"/>
  <c r="D15" i="1"/>
  <c r="F14" i="1"/>
  <c r="D14" i="1"/>
  <c r="E14" i="1" s="1"/>
  <c r="G14" i="1" s="1"/>
  <c r="F13" i="1"/>
  <c r="D13" i="1"/>
  <c r="F12" i="1"/>
  <c r="D12" i="1"/>
  <c r="E12" i="1" s="1"/>
  <c r="G12" i="1" s="1"/>
  <c r="F11" i="1"/>
  <c r="D11" i="1"/>
  <c r="F10" i="1"/>
  <c r="D10" i="1"/>
  <c r="E10" i="1" s="1"/>
  <c r="G10" i="1" s="1"/>
  <c r="F9" i="1"/>
  <c r="D9" i="1"/>
  <c r="D8" i="1"/>
  <c r="E8" i="1" s="1"/>
  <c r="F7" i="1"/>
  <c r="D7" i="1"/>
  <c r="E7" i="1" s="1"/>
  <c r="G7" i="1" s="1"/>
  <c r="F6" i="1"/>
  <c r="D6" i="1"/>
  <c r="E6" i="1" s="1"/>
  <c r="G6" i="1" s="1"/>
  <c r="F5" i="1"/>
  <c r="D5" i="1"/>
  <c r="F4" i="1"/>
  <c r="D4" i="1"/>
  <c r="E4" i="1" s="1"/>
  <c r="G4" i="1" s="1"/>
  <c r="D3" i="1"/>
  <c r="F3" i="1" s="1"/>
  <c r="F2" i="1"/>
  <c r="D2" i="1"/>
  <c r="H38" i="1" l="1"/>
  <c r="I38" i="1" s="1"/>
  <c r="H46" i="1"/>
  <c r="I46" i="1" s="1"/>
  <c r="H62" i="1"/>
  <c r="I62" i="1" s="1"/>
  <c r="G25" i="1"/>
  <c r="H26" i="1"/>
  <c r="H30" i="1"/>
  <c r="I30" i="1" s="1"/>
  <c r="H54" i="1"/>
  <c r="I54" i="1" s="1"/>
  <c r="E21" i="1"/>
  <c r="G21" i="1" s="1"/>
  <c r="F25" i="1"/>
  <c r="E26" i="1"/>
  <c r="G39" i="1"/>
  <c r="I39" i="1" s="1"/>
  <c r="F41" i="1"/>
  <c r="G41" i="1" s="1"/>
  <c r="I41" i="1" s="1"/>
  <c r="E42" i="1"/>
  <c r="G47" i="1"/>
  <c r="I47" i="1" s="1"/>
  <c r="E109" i="1"/>
  <c r="H4" i="1"/>
  <c r="I4" i="1" s="1"/>
  <c r="H6" i="1"/>
  <c r="I6" i="1" s="1"/>
  <c r="H7" i="1"/>
  <c r="I7" i="1" s="1"/>
  <c r="F8" i="1"/>
  <c r="G8" i="1" s="1"/>
  <c r="I8" i="1" s="1"/>
  <c r="H10" i="1"/>
  <c r="I10" i="1" s="1"/>
  <c r="H12" i="1"/>
  <c r="I12" i="1" s="1"/>
  <c r="H14" i="1"/>
  <c r="I14" i="1" s="1"/>
  <c r="H16" i="1"/>
  <c r="I16" i="1" s="1"/>
  <c r="F19" i="1"/>
  <c r="H19" i="1" s="1"/>
  <c r="H20" i="1"/>
  <c r="I20" i="1" s="1"/>
  <c r="F23" i="1"/>
  <c r="G23" i="1" s="1"/>
  <c r="I23" i="1" s="1"/>
  <c r="H24" i="1"/>
  <c r="I24" i="1" s="1"/>
  <c r="F26" i="1"/>
  <c r="F27" i="1"/>
  <c r="H27" i="1" s="1"/>
  <c r="E28" i="1"/>
  <c r="G28" i="1" s="1"/>
  <c r="H31" i="1"/>
  <c r="I31" i="1" s="1"/>
  <c r="F42" i="1"/>
  <c r="H42" i="1" s="1"/>
  <c r="F43" i="1"/>
  <c r="H43" i="1" s="1"/>
  <c r="E44" i="1"/>
  <c r="G44" i="1" s="1"/>
  <c r="H55" i="1"/>
  <c r="I55" i="1" s="1"/>
  <c r="F59" i="1"/>
  <c r="H59" i="1" s="1"/>
  <c r="E60" i="1"/>
  <c r="G60" i="1" s="1"/>
  <c r="E66" i="1"/>
  <c r="G66" i="1" s="1"/>
  <c r="E82" i="1"/>
  <c r="G82" i="1" s="1"/>
  <c r="H84" i="1"/>
  <c r="I84" i="1" s="1"/>
  <c r="E90" i="1"/>
  <c r="G90" i="1" s="1"/>
  <c r="H92" i="1"/>
  <c r="I92" i="1" s="1"/>
  <c r="E98" i="1"/>
  <c r="G98" i="1" s="1"/>
  <c r="E105" i="1"/>
  <c r="G105" i="1" s="1"/>
  <c r="F105" i="1"/>
  <c r="E107" i="1"/>
  <c r="F107" i="1"/>
  <c r="H107" i="1" s="1"/>
  <c r="F109" i="1"/>
  <c r="H109" i="1" s="1"/>
  <c r="E2" i="1"/>
  <c r="G2" i="1" s="1"/>
  <c r="E5" i="1"/>
  <c r="G5" i="1" s="1"/>
  <c r="E9" i="1"/>
  <c r="G9" i="1" s="1"/>
  <c r="E11" i="1"/>
  <c r="G11" i="1" s="1"/>
  <c r="E13" i="1"/>
  <c r="G13" i="1" s="1"/>
  <c r="E15" i="1"/>
  <c r="G15" i="1" s="1"/>
  <c r="E17" i="1"/>
  <c r="G17" i="1" s="1"/>
  <c r="E18" i="1"/>
  <c r="G18" i="1" s="1"/>
  <c r="E22" i="1"/>
  <c r="G22" i="1" s="1"/>
  <c r="H25" i="1"/>
  <c r="F29" i="1"/>
  <c r="F36" i="1"/>
  <c r="H36" i="1" s="1"/>
  <c r="F37" i="1"/>
  <c r="H41" i="1"/>
  <c r="F45" i="1"/>
  <c r="F52" i="1"/>
  <c r="H52" i="1" s="1"/>
  <c r="F53" i="1"/>
  <c r="F61" i="1"/>
  <c r="E64" i="1"/>
  <c r="H66" i="1"/>
  <c r="E72" i="1"/>
  <c r="E80" i="1"/>
  <c r="H82" i="1"/>
  <c r="E88" i="1"/>
  <c r="H90" i="1"/>
  <c r="E96" i="1"/>
  <c r="G96" i="1" s="1"/>
  <c r="H98" i="1"/>
  <c r="G102" i="1"/>
  <c r="I102" i="1" s="1"/>
  <c r="F104" i="1"/>
  <c r="G104" i="1" s="1"/>
  <c r="H105" i="1"/>
  <c r="H108" i="1"/>
  <c r="F108" i="1"/>
  <c r="E119" i="1"/>
  <c r="G119" i="1" s="1"/>
  <c r="F119" i="1"/>
  <c r="H119" i="1"/>
  <c r="H130" i="1"/>
  <c r="G132" i="1"/>
  <c r="F140" i="1"/>
  <c r="H140" i="1" s="1"/>
  <c r="E151" i="1"/>
  <c r="F151" i="1"/>
  <c r="H151" i="1" s="1"/>
  <c r="H162" i="1"/>
  <c r="G164" i="1"/>
  <c r="E171" i="1"/>
  <c r="G171" i="1" s="1"/>
  <c r="F171" i="1"/>
  <c r="H171" i="1"/>
  <c r="H96" i="1"/>
  <c r="G100" i="1"/>
  <c r="I100" i="1" s="1"/>
  <c r="F106" i="1"/>
  <c r="H106" i="1" s="1"/>
  <c r="E106" i="1"/>
  <c r="G108" i="1"/>
  <c r="I108" i="1" s="1"/>
  <c r="I110" i="1"/>
  <c r="E117" i="1"/>
  <c r="F117" i="1"/>
  <c r="H117" i="1" s="1"/>
  <c r="G122" i="1"/>
  <c r="I122" i="1" s="1"/>
  <c r="E127" i="1"/>
  <c r="G127" i="1" s="1"/>
  <c r="F127" i="1"/>
  <c r="H127" i="1"/>
  <c r="H129" i="1"/>
  <c r="G129" i="1"/>
  <c r="I129" i="1" s="1"/>
  <c r="E131" i="1"/>
  <c r="G131" i="1" s="1"/>
  <c r="H131" i="1"/>
  <c r="I137" i="1"/>
  <c r="G140" i="1"/>
  <c r="I142" i="1"/>
  <c r="E149" i="1"/>
  <c r="F149" i="1"/>
  <c r="H149" i="1" s="1"/>
  <c r="G154" i="1"/>
  <c r="I154" i="1" s="1"/>
  <c r="E159" i="1"/>
  <c r="G159" i="1" s="1"/>
  <c r="F159" i="1"/>
  <c r="H159" i="1"/>
  <c r="H161" i="1"/>
  <c r="G161" i="1"/>
  <c r="I161" i="1" s="1"/>
  <c r="E163" i="1"/>
  <c r="G163" i="1" s="1"/>
  <c r="H163" i="1"/>
  <c r="H8" i="1"/>
  <c r="E3" i="1"/>
  <c r="G3" i="1" s="1"/>
  <c r="E19" i="1"/>
  <c r="G19" i="1" s="1"/>
  <c r="E50" i="1"/>
  <c r="G50" i="1" s="1"/>
  <c r="F118" i="1"/>
  <c r="E128" i="1"/>
  <c r="H128" i="1"/>
  <c r="E136" i="1"/>
  <c r="G136" i="1" s="1"/>
  <c r="H136" i="1"/>
  <c r="F136" i="1"/>
  <c r="E141" i="1"/>
  <c r="F150" i="1"/>
  <c r="H150" i="1" s="1"/>
  <c r="E160" i="1"/>
  <c r="G160" i="1" s="1"/>
  <c r="F167" i="1"/>
  <c r="E186" i="1"/>
  <c r="G186" i="1" s="1"/>
  <c r="F186" i="1"/>
  <c r="H186" i="1" s="1"/>
  <c r="H21" i="1"/>
  <c r="H23" i="1"/>
  <c r="F33" i="1"/>
  <c r="G33" i="1" s="1"/>
  <c r="E34" i="1"/>
  <c r="G34" i="1" s="1"/>
  <c r="F49" i="1"/>
  <c r="H49" i="1" s="1"/>
  <c r="F57" i="1"/>
  <c r="H57" i="1" s="1"/>
  <c r="E58" i="1"/>
  <c r="G58" i="1" s="1"/>
  <c r="E68" i="1"/>
  <c r="G68" i="1" s="1"/>
  <c r="E103" i="1"/>
  <c r="G103" i="1" s="1"/>
  <c r="H103" i="1"/>
  <c r="F35" i="1"/>
  <c r="H35" i="1" s="1"/>
  <c r="F51" i="1"/>
  <c r="H51" i="1" s="1"/>
  <c r="E74" i="1"/>
  <c r="G74" i="1" s="1"/>
  <c r="H76" i="1"/>
  <c r="I76" i="1" s="1"/>
  <c r="F116" i="1"/>
  <c r="H116" i="1" s="1"/>
  <c r="E116" i="1"/>
  <c r="E118" i="1"/>
  <c r="G118" i="1" s="1"/>
  <c r="G121" i="1"/>
  <c r="I121" i="1" s="1"/>
  <c r="F126" i="1"/>
  <c r="H126" i="1" s="1"/>
  <c r="E126" i="1"/>
  <c r="G126" i="1" s="1"/>
  <c r="F128" i="1"/>
  <c r="I130" i="1"/>
  <c r="E139" i="1"/>
  <c r="G139" i="1" s="1"/>
  <c r="H139" i="1"/>
  <c r="F139" i="1"/>
  <c r="F141" i="1"/>
  <c r="H141" i="1" s="1"/>
  <c r="F148" i="1"/>
  <c r="H148" i="1" s="1"/>
  <c r="E148" i="1"/>
  <c r="E150" i="1"/>
  <c r="G150" i="1" s="1"/>
  <c r="G153" i="1"/>
  <c r="I153" i="1" s="1"/>
  <c r="F158" i="1"/>
  <c r="H158" i="1" s="1"/>
  <c r="E158" i="1"/>
  <c r="I162" i="1"/>
  <c r="E167" i="1"/>
  <c r="G167" i="1" s="1"/>
  <c r="E176" i="1"/>
  <c r="H176" i="1"/>
  <c r="F176" i="1"/>
  <c r="H63" i="1"/>
  <c r="I63" i="1" s="1"/>
  <c r="H65" i="1"/>
  <c r="I65" i="1" s="1"/>
  <c r="H67" i="1"/>
  <c r="I67" i="1" s="1"/>
  <c r="H69" i="1"/>
  <c r="I69" i="1" s="1"/>
  <c r="H71" i="1"/>
  <c r="I71" i="1" s="1"/>
  <c r="H73" i="1"/>
  <c r="I73" i="1" s="1"/>
  <c r="H75" i="1"/>
  <c r="I75" i="1" s="1"/>
  <c r="H77" i="1"/>
  <c r="I77" i="1" s="1"/>
  <c r="H79" i="1"/>
  <c r="I79" i="1" s="1"/>
  <c r="H81" i="1"/>
  <c r="I81" i="1" s="1"/>
  <c r="H83" i="1"/>
  <c r="I83" i="1" s="1"/>
  <c r="H85" i="1"/>
  <c r="I85" i="1" s="1"/>
  <c r="H87" i="1"/>
  <c r="I87" i="1" s="1"/>
  <c r="H89" i="1"/>
  <c r="I89" i="1" s="1"/>
  <c r="H91" i="1"/>
  <c r="I91" i="1" s="1"/>
  <c r="H93" i="1"/>
  <c r="I93" i="1" s="1"/>
  <c r="H95" i="1"/>
  <c r="I95" i="1" s="1"/>
  <c r="H97" i="1"/>
  <c r="I97" i="1" s="1"/>
  <c r="G112" i="1"/>
  <c r="I112" i="1" s="1"/>
  <c r="E115" i="1"/>
  <c r="H115" i="1"/>
  <c r="E135" i="1"/>
  <c r="F135" i="1"/>
  <c r="H135" i="1" s="1"/>
  <c r="I138" i="1"/>
  <c r="E147" i="1"/>
  <c r="G157" i="1"/>
  <c r="I157" i="1" s="1"/>
  <c r="E166" i="1"/>
  <c r="F175" i="1"/>
  <c r="H175" i="1" s="1"/>
  <c r="E178" i="1"/>
  <c r="F178" i="1"/>
  <c r="H178" i="1" s="1"/>
  <c r="I181" i="1"/>
  <c r="I185" i="1"/>
  <c r="E188" i="1"/>
  <c r="F188" i="1"/>
  <c r="H188" i="1" s="1"/>
  <c r="F99" i="1"/>
  <c r="E111" i="1"/>
  <c r="F111" i="1"/>
  <c r="H111" i="1" s="1"/>
  <c r="F112" i="1"/>
  <c r="H112" i="1" s="1"/>
  <c r="G114" i="1"/>
  <c r="I114" i="1" s="1"/>
  <c r="F115" i="1"/>
  <c r="G120" i="1"/>
  <c r="I120" i="1" s="1"/>
  <c r="E123" i="1"/>
  <c r="G123" i="1" s="1"/>
  <c r="H123" i="1"/>
  <c r="E124" i="1"/>
  <c r="G124" i="1" s="1"/>
  <c r="F125" i="1"/>
  <c r="H125" i="1" s="1"/>
  <c r="H132" i="1"/>
  <c r="G133" i="1"/>
  <c r="I133" i="1" s="1"/>
  <c r="E134" i="1"/>
  <c r="E143" i="1"/>
  <c r="G143" i="1" s="1"/>
  <c r="F143" i="1"/>
  <c r="F144" i="1"/>
  <c r="H144" i="1" s="1"/>
  <c r="G146" i="1"/>
  <c r="I146" i="1" s="1"/>
  <c r="F147" i="1"/>
  <c r="H147" i="1" s="1"/>
  <c r="G152" i="1"/>
  <c r="I152" i="1" s="1"/>
  <c r="E155" i="1"/>
  <c r="G155" i="1" s="1"/>
  <c r="E156" i="1"/>
  <c r="G156" i="1" s="1"/>
  <c r="F157" i="1"/>
  <c r="H157" i="1" s="1"/>
  <c r="H164" i="1"/>
  <c r="G165" i="1"/>
  <c r="I165" i="1" s="1"/>
  <c r="F166" i="1"/>
  <c r="H166" i="1" s="1"/>
  <c r="G168" i="1"/>
  <c r="I168" i="1" s="1"/>
  <c r="E175" i="1"/>
  <c r="G175" i="1" s="1"/>
  <c r="E184" i="1"/>
  <c r="F184" i="1"/>
  <c r="H184" i="1" s="1"/>
  <c r="E174" i="1"/>
  <c r="G174" i="1" s="1"/>
  <c r="F174" i="1"/>
  <c r="H174" i="1" s="1"/>
  <c r="I177" i="1"/>
  <c r="H183" i="1"/>
  <c r="E183" i="1"/>
  <c r="G183" i="1" s="1"/>
  <c r="G187" i="1"/>
  <c r="I187" i="1" s="1"/>
  <c r="E191" i="1"/>
  <c r="F191" i="1"/>
  <c r="H191" i="1" s="1"/>
  <c r="E198" i="1"/>
  <c r="F198" i="1"/>
  <c r="H198" i="1" s="1"/>
  <c r="G201" i="1"/>
  <c r="H201" i="1"/>
  <c r="I224" i="1"/>
  <c r="G195" i="1"/>
  <c r="F197" i="1"/>
  <c r="E197" i="1"/>
  <c r="I200" i="1"/>
  <c r="F203" i="1"/>
  <c r="E203" i="1"/>
  <c r="G203" i="1" s="1"/>
  <c r="F235" i="1"/>
  <c r="E235" i="1"/>
  <c r="G235" i="1" s="1"/>
  <c r="E170" i="1"/>
  <c r="F170" i="1"/>
  <c r="H170" i="1" s="1"/>
  <c r="G173" i="1"/>
  <c r="I173" i="1" s="1"/>
  <c r="G179" i="1"/>
  <c r="I179" i="1" s="1"/>
  <c r="E182" i="1"/>
  <c r="G182" i="1" s="1"/>
  <c r="H182" i="1"/>
  <c r="H187" i="1"/>
  <c r="H189" i="1"/>
  <c r="I189" i="1" s="1"/>
  <c r="E194" i="1"/>
  <c r="H194" i="1"/>
  <c r="F194" i="1"/>
  <c r="H197" i="1"/>
  <c r="H200" i="1"/>
  <c r="H203" i="1"/>
  <c r="I205" i="1"/>
  <c r="G212" i="1"/>
  <c r="I212" i="1" s="1"/>
  <c r="F227" i="1"/>
  <c r="E227" i="1"/>
  <c r="G227" i="1" s="1"/>
  <c r="F219" i="1"/>
  <c r="H219" i="1" s="1"/>
  <c r="E219" i="1"/>
  <c r="G225" i="1"/>
  <c r="F211" i="1"/>
  <c r="H211" i="1" s="1"/>
  <c r="E211" i="1"/>
  <c r="G217" i="1"/>
  <c r="I232" i="1"/>
  <c r="E190" i="1"/>
  <c r="G190" i="1" s="1"/>
  <c r="F190" i="1"/>
  <c r="G193" i="1"/>
  <c r="I193" i="1" s="1"/>
  <c r="H196" i="1"/>
  <c r="G199" i="1"/>
  <c r="I199" i="1" s="1"/>
  <c r="E202" i="1"/>
  <c r="G202" i="1" s="1"/>
  <c r="H202" i="1"/>
  <c r="F207" i="1"/>
  <c r="E207" i="1"/>
  <c r="G207" i="1" s="1"/>
  <c r="F215" i="1"/>
  <c r="E215" i="1"/>
  <c r="G215" i="1" s="1"/>
  <c r="F223" i="1"/>
  <c r="E223" i="1"/>
  <c r="G223" i="1" s="1"/>
  <c r="F231" i="1"/>
  <c r="E231" i="1"/>
  <c r="G231" i="1" s="1"/>
  <c r="F239" i="1"/>
  <c r="E239" i="1"/>
  <c r="G239" i="1" s="1"/>
  <c r="E243" i="1"/>
  <c r="F247" i="1"/>
  <c r="H247" i="1" s="1"/>
  <c r="E247" i="1"/>
  <c r="G251" i="1"/>
  <c r="I251" i="1" s="1"/>
  <c r="F253" i="1"/>
  <c r="H253" i="1" s="1"/>
  <c r="F255" i="1"/>
  <c r="E255" i="1"/>
  <c r="G255" i="1" s="1"/>
  <c r="G257" i="1"/>
  <c r="I257" i="1" s="1"/>
  <c r="H267" i="1"/>
  <c r="I267" i="1" s="1"/>
  <c r="G274" i="1"/>
  <c r="I274" i="1" s="1"/>
  <c r="G276" i="1"/>
  <c r="I301" i="1"/>
  <c r="E260" i="1"/>
  <c r="G260" i="1" s="1"/>
  <c r="I265" i="1"/>
  <c r="H266" i="1"/>
  <c r="G266" i="1"/>
  <c r="I266" i="1" s="1"/>
  <c r="E270" i="1"/>
  <c r="F270" i="1"/>
  <c r="H270" i="1" s="1"/>
  <c r="H273" i="1"/>
  <c r="I273" i="1" s="1"/>
  <c r="G291" i="1"/>
  <c r="I294" i="1"/>
  <c r="H195" i="1"/>
  <c r="G196" i="1"/>
  <c r="I196" i="1" s="1"/>
  <c r="F209" i="1"/>
  <c r="G209" i="1" s="1"/>
  <c r="I209" i="1" s="1"/>
  <c r="H209" i="1"/>
  <c r="F217" i="1"/>
  <c r="H217" i="1"/>
  <c r="F225" i="1"/>
  <c r="H225" i="1"/>
  <c r="F233" i="1"/>
  <c r="G233" i="1" s="1"/>
  <c r="I233" i="1" s="1"/>
  <c r="H233" i="1"/>
  <c r="F241" i="1"/>
  <c r="H241" i="1"/>
  <c r="F249" i="1"/>
  <c r="H249" i="1"/>
  <c r="E254" i="1"/>
  <c r="F254" i="1"/>
  <c r="H254" i="1" s="1"/>
  <c r="F260" i="1"/>
  <c r="H260" i="1" s="1"/>
  <c r="E262" i="1"/>
  <c r="G262" i="1" s="1"/>
  <c r="F262" i="1"/>
  <c r="H262" i="1"/>
  <c r="I286" i="1"/>
  <c r="H293" i="1"/>
  <c r="I293" i="1" s="1"/>
  <c r="G241" i="1"/>
  <c r="G249" i="1"/>
  <c r="I249" i="1" s="1"/>
  <c r="F263" i="1"/>
  <c r="E263" i="1"/>
  <c r="G263" i="1" s="1"/>
  <c r="H269" i="1"/>
  <c r="F269" i="1"/>
  <c r="G269" i="1" s="1"/>
  <c r="I269" i="1" s="1"/>
  <c r="F271" i="1"/>
  <c r="E271" i="1"/>
  <c r="H271" i="1"/>
  <c r="I277" i="1"/>
  <c r="I282" i="1"/>
  <c r="G284" i="1"/>
  <c r="H285" i="1"/>
  <c r="I285" i="1" s="1"/>
  <c r="I302" i="1"/>
  <c r="E252" i="1"/>
  <c r="G252" i="1" s="1"/>
  <c r="H252" i="1"/>
  <c r="G259" i="1"/>
  <c r="I259" i="1" s="1"/>
  <c r="H261" i="1"/>
  <c r="F261" i="1"/>
  <c r="G261" i="1" s="1"/>
  <c r="I261" i="1" s="1"/>
  <c r="E268" i="1"/>
  <c r="G268" i="1" s="1"/>
  <c r="G275" i="1"/>
  <c r="I275" i="1" s="1"/>
  <c r="F281" i="1"/>
  <c r="H281" i="1"/>
  <c r="E281" i="1"/>
  <c r="G281" i="1" s="1"/>
  <c r="F283" i="1"/>
  <c r="H283" i="1" s="1"/>
  <c r="F289" i="1"/>
  <c r="H289" i="1" s="1"/>
  <c r="E289" i="1"/>
  <c r="G289" i="1" s="1"/>
  <c r="F291" i="1"/>
  <c r="H291" i="1"/>
  <c r="F297" i="1"/>
  <c r="H297" i="1"/>
  <c r="E297" i="1"/>
  <c r="F299" i="1"/>
  <c r="G299" i="1" s="1"/>
  <c r="F305" i="1"/>
  <c r="H305" i="1" s="1"/>
  <c r="E305" i="1"/>
  <c r="H204" i="1"/>
  <c r="I204" i="1" s="1"/>
  <c r="H206" i="1"/>
  <c r="I206" i="1" s="1"/>
  <c r="H208" i="1"/>
  <c r="I208" i="1" s="1"/>
  <c r="H210" i="1"/>
  <c r="I210" i="1" s="1"/>
  <c r="H212" i="1"/>
  <c r="H214" i="1"/>
  <c r="I214" i="1" s="1"/>
  <c r="H216" i="1"/>
  <c r="I216" i="1" s="1"/>
  <c r="H218" i="1"/>
  <c r="I218" i="1" s="1"/>
  <c r="H220" i="1"/>
  <c r="I220" i="1" s="1"/>
  <c r="H222" i="1"/>
  <c r="I222" i="1" s="1"/>
  <c r="H224" i="1"/>
  <c r="H226" i="1"/>
  <c r="I226" i="1" s="1"/>
  <c r="H228" i="1"/>
  <c r="I228" i="1" s="1"/>
  <c r="H230" i="1"/>
  <c r="I230" i="1" s="1"/>
  <c r="H232" i="1"/>
  <c r="H234" i="1"/>
  <c r="I234" i="1" s="1"/>
  <c r="H236" i="1"/>
  <c r="I236" i="1" s="1"/>
  <c r="H238" i="1"/>
  <c r="I238" i="1" s="1"/>
  <c r="H240" i="1"/>
  <c r="I240" i="1" s="1"/>
  <c r="H242" i="1"/>
  <c r="I242" i="1" s="1"/>
  <c r="H244" i="1"/>
  <c r="I244" i="1" s="1"/>
  <c r="H246" i="1"/>
  <c r="I246" i="1" s="1"/>
  <c r="H248" i="1"/>
  <c r="I248" i="1" s="1"/>
  <c r="H250" i="1"/>
  <c r="I250" i="1" s="1"/>
  <c r="F256" i="1"/>
  <c r="F264" i="1"/>
  <c r="F272" i="1"/>
  <c r="E279" i="1"/>
  <c r="E287" i="1"/>
  <c r="E295" i="1"/>
  <c r="E303" i="1"/>
  <c r="H276" i="1"/>
  <c r="H278" i="1"/>
  <c r="I278" i="1" s="1"/>
  <c r="H280" i="1"/>
  <c r="I280" i="1" s="1"/>
  <c r="H282" i="1"/>
  <c r="H284" i="1"/>
  <c r="H286" i="1"/>
  <c r="H288" i="1"/>
  <c r="I288" i="1" s="1"/>
  <c r="H290" i="1"/>
  <c r="I290" i="1" s="1"/>
  <c r="H292" i="1"/>
  <c r="I292" i="1" s="1"/>
  <c r="H294" i="1"/>
  <c r="H296" i="1"/>
  <c r="I296" i="1" s="1"/>
  <c r="H298" i="1"/>
  <c r="I298" i="1" s="1"/>
  <c r="H300" i="1"/>
  <c r="I300" i="1" s="1"/>
  <c r="H302" i="1"/>
  <c r="H304" i="1"/>
  <c r="I304" i="1" s="1"/>
  <c r="H306" i="1"/>
  <c r="I306" i="1" s="1"/>
  <c r="I291" i="1" l="1"/>
  <c r="I260" i="1"/>
  <c r="I217" i="1"/>
  <c r="H263" i="1"/>
  <c r="I225" i="1"/>
  <c r="I167" i="1"/>
  <c r="I126" i="1"/>
  <c r="I34" i="1"/>
  <c r="H167" i="1"/>
  <c r="H118" i="1"/>
  <c r="I118" i="1" s="1"/>
  <c r="H3" i="1"/>
  <c r="I159" i="1"/>
  <c r="G149" i="1"/>
  <c r="I149" i="1" s="1"/>
  <c r="I171" i="1"/>
  <c r="I132" i="1"/>
  <c r="I119" i="1"/>
  <c r="I96" i="1"/>
  <c r="G80" i="1"/>
  <c r="H80" i="1"/>
  <c r="G64" i="1"/>
  <c r="H64" i="1"/>
  <c r="H53" i="1"/>
  <c r="G53" i="1"/>
  <c r="I53" i="1" s="1"/>
  <c r="H45" i="1"/>
  <c r="G45" i="1"/>
  <c r="I45" i="1" s="1"/>
  <c r="H34" i="1"/>
  <c r="G107" i="1"/>
  <c r="I107" i="1" s="1"/>
  <c r="H68" i="1"/>
  <c r="I68" i="1" s="1"/>
  <c r="I21" i="1"/>
  <c r="H60" i="1"/>
  <c r="H28" i="1"/>
  <c r="H15" i="1"/>
  <c r="H2" i="1"/>
  <c r="I25" i="1"/>
  <c r="G49" i="1"/>
  <c r="I49" i="1" s="1"/>
  <c r="G295" i="1"/>
  <c r="H295" i="1"/>
  <c r="G264" i="1"/>
  <c r="H264" i="1"/>
  <c r="I289" i="1"/>
  <c r="I276" i="1"/>
  <c r="G287" i="1"/>
  <c r="H287" i="1"/>
  <c r="H256" i="1"/>
  <c r="G256" i="1"/>
  <c r="I256" i="1" s="1"/>
  <c r="H299" i="1"/>
  <c r="I299" i="1" s="1"/>
  <c r="I281" i="1"/>
  <c r="H268" i="1"/>
  <c r="G271" i="1"/>
  <c r="I271" i="1" s="1"/>
  <c r="G254" i="1"/>
  <c r="I254" i="1" s="1"/>
  <c r="G253" i="1"/>
  <c r="I253" i="1" s="1"/>
  <c r="H255" i="1"/>
  <c r="G243" i="1"/>
  <c r="I243" i="1" s="1"/>
  <c r="H243" i="1"/>
  <c r="H231" i="1"/>
  <c r="I231" i="1" s="1"/>
  <c r="H215" i="1"/>
  <c r="I215" i="1" s="1"/>
  <c r="I202" i="1"/>
  <c r="H190" i="1"/>
  <c r="G211" i="1"/>
  <c r="I211" i="1" s="1"/>
  <c r="G219" i="1"/>
  <c r="I219" i="1" s="1"/>
  <c r="H227" i="1"/>
  <c r="I227" i="1" s="1"/>
  <c r="H235" i="1"/>
  <c r="I235" i="1" s="1"/>
  <c r="G197" i="1"/>
  <c r="I197" i="1" s="1"/>
  <c r="G198" i="1"/>
  <c r="I198" i="1" s="1"/>
  <c r="I183" i="1"/>
  <c r="G184" i="1"/>
  <c r="I184" i="1" s="1"/>
  <c r="H155" i="1"/>
  <c r="I155" i="1" s="1"/>
  <c r="G134" i="1"/>
  <c r="H134" i="1"/>
  <c r="G111" i="1"/>
  <c r="I111" i="1" s="1"/>
  <c r="G188" i="1"/>
  <c r="I188" i="1" s="1"/>
  <c r="G178" i="1"/>
  <c r="I178" i="1" s="1"/>
  <c r="G166" i="1"/>
  <c r="I166" i="1" s="1"/>
  <c r="G147" i="1"/>
  <c r="I147" i="1" s="1"/>
  <c r="G135" i="1"/>
  <c r="I135" i="1" s="1"/>
  <c r="G115" i="1"/>
  <c r="I115" i="1" s="1"/>
  <c r="I139" i="1"/>
  <c r="G116" i="1"/>
  <c r="I116" i="1" s="1"/>
  <c r="I103" i="1"/>
  <c r="H160" i="1"/>
  <c r="I160" i="1" s="1"/>
  <c r="I136" i="1"/>
  <c r="I19" i="1"/>
  <c r="I131" i="1"/>
  <c r="G106" i="1"/>
  <c r="I106" i="1" s="1"/>
  <c r="I164" i="1"/>
  <c r="G151" i="1"/>
  <c r="I151" i="1" s="1"/>
  <c r="H104" i="1"/>
  <c r="I104" i="1" s="1"/>
  <c r="H74" i="1"/>
  <c r="I74" i="1" s="1"/>
  <c r="H61" i="1"/>
  <c r="G61" i="1"/>
  <c r="I61" i="1" s="1"/>
  <c r="H33" i="1"/>
  <c r="I33" i="1" s="1"/>
  <c r="I90" i="1"/>
  <c r="I66" i="1"/>
  <c r="I28" i="1"/>
  <c r="G109" i="1"/>
  <c r="I109" i="1" s="1"/>
  <c r="G52" i="1"/>
  <c r="I52" i="1" s="1"/>
  <c r="H22" i="1"/>
  <c r="I22" i="1" s="1"/>
  <c r="H13" i="1"/>
  <c r="I13" i="1" s="1"/>
  <c r="G51" i="1"/>
  <c r="I51" i="1" s="1"/>
  <c r="G57" i="1"/>
  <c r="I57" i="1" s="1"/>
  <c r="G59" i="1"/>
  <c r="I59" i="1" s="1"/>
  <c r="G35" i="1"/>
  <c r="I35" i="1" s="1"/>
  <c r="I268" i="1"/>
  <c r="I241" i="1"/>
  <c r="G283" i="1"/>
  <c r="I283" i="1" s="1"/>
  <c r="I207" i="1"/>
  <c r="I190" i="1"/>
  <c r="I203" i="1"/>
  <c r="I174" i="1"/>
  <c r="I175" i="1"/>
  <c r="H99" i="1"/>
  <c r="G99" i="1"/>
  <c r="G144" i="1"/>
  <c r="I144" i="1" s="1"/>
  <c r="G125" i="1"/>
  <c r="I125" i="1" s="1"/>
  <c r="G158" i="1"/>
  <c r="I158" i="1" s="1"/>
  <c r="I150" i="1"/>
  <c r="I186" i="1"/>
  <c r="G141" i="1"/>
  <c r="I141" i="1" s="1"/>
  <c r="I3" i="1"/>
  <c r="I140" i="1"/>
  <c r="I127" i="1"/>
  <c r="G117" i="1"/>
  <c r="I117" i="1" s="1"/>
  <c r="G88" i="1"/>
  <c r="H88" i="1"/>
  <c r="G72" i="1"/>
  <c r="H72" i="1"/>
  <c r="H58" i="1"/>
  <c r="I58" i="1" s="1"/>
  <c r="H50" i="1"/>
  <c r="I50" i="1" s="1"/>
  <c r="G37" i="1"/>
  <c r="H37" i="1"/>
  <c r="H29" i="1"/>
  <c r="G29" i="1"/>
  <c r="I29" i="1" s="1"/>
  <c r="I9" i="1"/>
  <c r="I105" i="1"/>
  <c r="I60" i="1"/>
  <c r="G26" i="1"/>
  <c r="I26" i="1" s="1"/>
  <c r="H44" i="1"/>
  <c r="I44" i="1" s="1"/>
  <c r="H11" i="1"/>
  <c r="I11" i="1" s="1"/>
  <c r="H5" i="1"/>
  <c r="I5" i="1" s="1"/>
  <c r="G279" i="1"/>
  <c r="H279" i="1"/>
  <c r="G305" i="1"/>
  <c r="I305" i="1" s="1"/>
  <c r="I263" i="1"/>
  <c r="I262" i="1"/>
  <c r="I255" i="1"/>
  <c r="I239" i="1"/>
  <c r="G303" i="1"/>
  <c r="I303" i="1" s="1"/>
  <c r="H303" i="1"/>
  <c r="H272" i="1"/>
  <c r="G272" i="1"/>
  <c r="G297" i="1"/>
  <c r="I297" i="1" s="1"/>
  <c r="I252" i="1"/>
  <c r="I284" i="1"/>
  <c r="G270" i="1"/>
  <c r="I270" i="1" s="1"/>
  <c r="G247" i="1"/>
  <c r="I247" i="1" s="1"/>
  <c r="H239" i="1"/>
  <c r="H223" i="1"/>
  <c r="I223" i="1" s="1"/>
  <c r="H207" i="1"/>
  <c r="G194" i="1"/>
  <c r="I194" i="1" s="1"/>
  <c r="I182" i="1"/>
  <c r="G170" i="1"/>
  <c r="I170" i="1" s="1"/>
  <c r="I195" i="1"/>
  <c r="I201" i="1"/>
  <c r="G191" i="1"/>
  <c r="I191" i="1" s="1"/>
  <c r="H143" i="1"/>
  <c r="I143" i="1" s="1"/>
  <c r="I123" i="1"/>
  <c r="H156" i="1"/>
  <c r="I156" i="1" s="1"/>
  <c r="H124" i="1"/>
  <c r="I124" i="1" s="1"/>
  <c r="G176" i="1"/>
  <c r="I176" i="1" s="1"/>
  <c r="G148" i="1"/>
  <c r="I148" i="1" s="1"/>
  <c r="G128" i="1"/>
  <c r="I128" i="1" s="1"/>
  <c r="I163" i="1"/>
  <c r="I15" i="1"/>
  <c r="I98" i="1"/>
  <c r="I82" i="1"/>
  <c r="G42" i="1"/>
  <c r="I42" i="1" s="1"/>
  <c r="G36" i="1"/>
  <c r="I36" i="1" s="1"/>
  <c r="H17" i="1"/>
  <c r="I17" i="1" s="1"/>
  <c r="H9" i="1"/>
  <c r="G27" i="1"/>
  <c r="I27" i="1" s="1"/>
  <c r="G43" i="1"/>
  <c r="I43" i="1" s="1"/>
  <c r="H18" i="1"/>
  <c r="I18" i="1" s="1"/>
  <c r="L11" i="1" l="1"/>
  <c r="M11" i="1" s="1"/>
  <c r="L12" i="1"/>
  <c r="M12" i="1" s="1"/>
  <c r="L5" i="1"/>
  <c r="M5" i="1" s="1"/>
  <c r="L4" i="1"/>
  <c r="I272" i="1"/>
  <c r="I88" i="1"/>
  <c r="I99" i="1"/>
  <c r="L13" i="1"/>
  <c r="M13" i="1" s="1"/>
  <c r="I134" i="1"/>
  <c r="I295" i="1"/>
  <c r="I64" i="1"/>
  <c r="L9" i="1" s="1"/>
  <c r="M9" i="1" s="1"/>
  <c r="L14" i="1"/>
  <c r="M14" i="1" s="1"/>
  <c r="I279" i="1"/>
  <c r="I37" i="1"/>
  <c r="I72" i="1"/>
  <c r="I287" i="1"/>
  <c r="L16" i="1" s="1"/>
  <c r="M16" i="1" s="1"/>
  <c r="I264" i="1"/>
  <c r="L15" i="1" s="1"/>
  <c r="M15" i="1" s="1"/>
  <c r="I2" i="1"/>
  <c r="L8" i="1" s="1"/>
  <c r="M8" i="1" s="1"/>
  <c r="I80" i="1"/>
  <c r="M4" i="1" l="1"/>
  <c r="L6" i="1"/>
  <c r="M6" i="1" s="1"/>
  <c r="L10" i="1"/>
  <c r="M10" i="1" s="1"/>
</calcChain>
</file>

<file path=xl/sharedStrings.xml><?xml version="1.0" encoding="utf-8"?>
<sst xmlns="http://schemas.openxmlformats.org/spreadsheetml/2006/main" count="440" uniqueCount="328">
  <si>
    <t>DMOS</t>
  </si>
  <si>
    <t>CI-95</t>
  </si>
  <si>
    <t>Delta</t>
  </si>
  <si>
    <t>Delta+CI</t>
  </si>
  <si>
    <t>Delta-CI</t>
  </si>
  <si>
    <t>Equivelent</t>
  </si>
  <si>
    <t>movies/compact3d/africa_compact3d_hq.mp4</t>
  </si>
  <si>
    <t>Threshold:</t>
  </si>
  <si>
    <t>movies/compact3d/africa_compact3d_lq.mp4</t>
  </si>
  <si>
    <t>movies/compact3d/africa_compact3d_mq.mp4</t>
  </si>
  <si>
    <t>movies/compact3d/basket_compact3d_hq.mp4</t>
  </si>
  <si>
    <t>movies/compact3d/basket_compact3d_lq.mp4</t>
  </si>
  <si>
    <t>Total:</t>
  </si>
  <si>
    <t>movies/compact3d/basket_compact3d_mq.mp4</t>
  </si>
  <si>
    <t>movies/compact3d/bicycle_compact3d_hq.mp4</t>
  </si>
  <si>
    <t>movies/compact3d/bicycle_compact3d_lq.mp4</t>
  </si>
  <si>
    <t>Compact3D</t>
  </si>
  <si>
    <t>movies/compact3d/bicycle_compact3d_mq.mp4</t>
  </si>
  <si>
    <t>Context-GS</t>
  </si>
  <si>
    <t>movies/compact3d/bonsai_compact3d_hq.mp4</t>
  </si>
  <si>
    <t>FCGS</t>
  </si>
  <si>
    <t>movies/compact3d/bonsai_compact3d_lq.mp4</t>
  </si>
  <si>
    <t>GSICO-3DGS</t>
  </si>
  <si>
    <t>movies/compact3d/bonsai_compact3d_mq.mp4</t>
  </si>
  <si>
    <t>GSICO-Scaffold</t>
  </si>
  <si>
    <t>movies/compact3d/counter_compact3d_hq.mp4</t>
  </si>
  <si>
    <t>HAC++</t>
  </si>
  <si>
    <t>movies/compact3d/counter_compact3d_lq.mp4</t>
  </si>
  <si>
    <t>LightGaussian</t>
  </si>
  <si>
    <t>movies/compact3d/counter_compact3d_mq.mp4</t>
  </si>
  <si>
    <t>Reduced3DGS</t>
  </si>
  <si>
    <t>movies/compact3d/drjohnson_compact3d_hq.mp4</t>
  </si>
  <si>
    <t>SOG</t>
  </si>
  <si>
    <t>movies/compact3d/drjohnson_compact3d_lq.mp4</t>
  </si>
  <si>
    <t>movies/compact3d/drjohnson_compact3d_mq.mp4</t>
  </si>
  <si>
    <t>movies/compact3d/flowers_compact3d_hq.mp4</t>
  </si>
  <si>
    <t>movies/compact3d/flowers_compact3d_lq.mp4</t>
  </si>
  <si>
    <t>movies/compact3d/flowers_compact3d_mq.mp4</t>
  </si>
  <si>
    <t>movies/compact3d/garden_compact3d_hq.mp4</t>
  </si>
  <si>
    <t>movies/compact3d/garden_compact3d_lq.mp4</t>
  </si>
  <si>
    <t>movies/compact3d/garden_compact3d_mq.mp4</t>
  </si>
  <si>
    <t>movies/compact3d/kitchen_compact3d_hq.mp4</t>
  </si>
  <si>
    <t>movies/compact3d/kitchen_compact3d_lq.mp4</t>
  </si>
  <si>
    <t>movies/compact3d/kitchen_compact3d_mq.mp4</t>
  </si>
  <si>
    <t>movies/compact3d/playroom_compact3d_hq.mp4</t>
  </si>
  <si>
    <t>movies/compact3d/playroom_compact3d_lq.mp4</t>
  </si>
  <si>
    <t>movies/compact3d/playroom_compact3d_mq.mp4</t>
  </si>
  <si>
    <t>movies/compact3d/ship_compact3d_hq.mp4</t>
  </si>
  <si>
    <t>movies/compact3d/ship_compact3d_lq.mp4</t>
  </si>
  <si>
    <t>movies/compact3d/ship_compact3d_mq.mp4</t>
  </si>
  <si>
    <t>movies/compact3d/train_compact3d_hq.mp4</t>
  </si>
  <si>
    <t>movies/compact3d/train_compact3d_lq.mp4</t>
  </si>
  <si>
    <t>movies/compact3d/train_compact3d_mq.mp4</t>
  </si>
  <si>
    <t>movies/compact3d/truck_compact3d_hq.mp4</t>
  </si>
  <si>
    <t>movies/compact3d/truck_compact3d_lq.mp4</t>
  </si>
  <si>
    <t>movies/compact3d/truck_compact3d_mq.mp4</t>
  </si>
  <si>
    <t>movies/contextgs/africa_contextgs_hq.mp4</t>
  </si>
  <si>
    <t>movies/contextgs/africa_contextgs_lq.mp4</t>
  </si>
  <si>
    <t>movies/contextgs/africa_contextgs_mq.mp4</t>
  </si>
  <si>
    <t>movies/contextgs/basket_contextgs_hq.mp4</t>
  </si>
  <si>
    <t>movies/contextgs/basket_contextgs_lq.mp4</t>
  </si>
  <si>
    <t>movies/contextgs/basket_contextgs_mq.mp4</t>
  </si>
  <si>
    <t>movies/contextgs/bicycle_contextgs_hq.mp4</t>
  </si>
  <si>
    <t>movies/contextgs/bicycle_contextgs_lq.mp4</t>
  </si>
  <si>
    <t>movies/contextgs/bicycle_contextgs_mq.mp4</t>
  </si>
  <si>
    <t>movies/contextgs/bonsai_contextgs_hq.mp4</t>
  </si>
  <si>
    <t>movies/contextgs/bonsai_contextgs_lq.mp4</t>
  </si>
  <si>
    <t>movies/contextgs/bonsai_contextgs_mq.mp4</t>
  </si>
  <si>
    <t>movies/contextgs/counter_contextgs_hq.mp4</t>
  </si>
  <si>
    <t>movies/contextgs/counter_contextgs_lq.mp4</t>
  </si>
  <si>
    <t>movies/contextgs/counter_contextgs_mq.mp4</t>
  </si>
  <si>
    <t>movies/contextgs/drjohnson_contextgs_hq.mp4</t>
  </si>
  <si>
    <t>movies/contextgs/drjohnson_contextgs_lq.mp4</t>
  </si>
  <si>
    <t>movies/contextgs/drjohnson_contextgs_mq.mp4</t>
  </si>
  <si>
    <t>movies/contextgs/flowers_contextgs_hq.mp4</t>
  </si>
  <si>
    <t>movies/contextgs/flowers_contextgs_lq.mp4</t>
  </si>
  <si>
    <t>movies/contextgs/flowers_contextgs_mq.mp4</t>
  </si>
  <si>
    <t>movies/contextgs/garden_contextgs_hq.mp4</t>
  </si>
  <si>
    <t>movies/contextgs/garden_contextgs_lq.mp4</t>
  </si>
  <si>
    <t>movies/contextgs/garden_contextgs_mq.mp4</t>
  </si>
  <si>
    <t>movies/contextgs/kitchen_contextgs_hq.mp4</t>
  </si>
  <si>
    <t>movies/contextgs/kitchen_contextgs_lq.mp4</t>
  </si>
  <si>
    <t>movies/contextgs/kitchen_contextgs_mq.mp4</t>
  </si>
  <si>
    <t>movies/contextgs/playroom_contextgs_hq.mp4</t>
  </si>
  <si>
    <t>movies/contextgs/playroom_contextgs_lq.mp4</t>
  </si>
  <si>
    <t>movies/contextgs/playroom_contextgs_mq.mp4</t>
  </si>
  <si>
    <t>movies/contextgs/ship_contextgs_hq.mp4</t>
  </si>
  <si>
    <t>movies/contextgs/ship_contextgs_lq.mp4</t>
  </si>
  <si>
    <t>movies/contextgs/ship_contextgs_mq.mp4</t>
  </si>
  <si>
    <t>movies/contextgs/train_contextgs_hq.mp4</t>
  </si>
  <si>
    <t>movies/contextgs/train_contextgs_lq.mp4</t>
  </si>
  <si>
    <t>movies/contextgs/train_contextgs_mq.mp4</t>
  </si>
  <si>
    <t>movies/contextgs/truck_contextgs_hq.mp4</t>
  </si>
  <si>
    <t>movies/contextgs/truck_contextgs_lq.mp4</t>
  </si>
  <si>
    <t>movies/contextgs/truck_contextgs_mq.mp4</t>
  </si>
  <si>
    <t>movies/fcgs/africa_fcgs_hq.mp4</t>
  </si>
  <si>
    <t>movies/fcgs/basket_fcgs_hq.mp4</t>
  </si>
  <si>
    <t>movies/fcgs/bicycle_fcgs_hq.mp4</t>
  </si>
  <si>
    <t>movies/fcgs/bonsai_fcgs_hq.mp4</t>
  </si>
  <si>
    <t>movies/fcgs/counter_fcgs_hq.mp4</t>
  </si>
  <si>
    <t>movies/fcgs/drjohnson_fcgs_hq.mp4</t>
  </si>
  <si>
    <t>movies/fcgs/flowers_fcgs_hq.mp4</t>
  </si>
  <si>
    <t>movies/fcgs/garden_fcgs_hq.mp4</t>
  </si>
  <si>
    <t>movies/fcgs/kitchen_fcgs_hq.mp4</t>
  </si>
  <si>
    <t>movies/fcgs/playroom_fcgs_hq.mp4</t>
  </si>
  <si>
    <t>movies/fcgs/ship_fcgs_hq.mp4</t>
  </si>
  <si>
    <t>movies/fcgs/train_fcgs_hq.mp4</t>
  </si>
  <si>
    <t>movies/fcgs/truck_fcgs_hq.mp4</t>
  </si>
  <si>
    <t>movies/gsico_3dgs/africa_gsico_3dgs_hq.mp4</t>
  </si>
  <si>
    <t>movies/gsico_3dgs/africa_gsico_3dgs_lq.mp4</t>
  </si>
  <si>
    <t>movies/gsico_3dgs/africa_gsico_3dgs_mq.mp4</t>
  </si>
  <si>
    <t>movies/gsico_3dgs/basket_gsico_3dgs_hq.mp4</t>
  </si>
  <si>
    <t>movies/gsico_3dgs/basket_gsico_3dgs_lq.mp4</t>
  </si>
  <si>
    <t>movies/gsico_3dgs/basket_gsico_3dgs_mq.mp4</t>
  </si>
  <si>
    <t>movies/gsico_3dgs/bicycle_gsico_3dgs_hq.mp4</t>
  </si>
  <si>
    <t>movies/gsico_3dgs/bicycle_gsico_3dgs_lq.mp4</t>
  </si>
  <si>
    <t>movies/gsico_3dgs/bicycle_gsico_3dgs_mq.mp4</t>
  </si>
  <si>
    <t>movies/gsico_3dgs/bonsai_gsico_3dgs_hq.mp4</t>
  </si>
  <si>
    <t>movies/gsico_3dgs/bonsai_gsico_3dgs_lq.mp4</t>
  </si>
  <si>
    <t>movies/gsico_3dgs/bonsai_gsico_3dgs_mq.mp4</t>
  </si>
  <si>
    <t>movies/gsico_3dgs/counter_gsico_3dgs_hq.mp4</t>
  </si>
  <si>
    <t>movies/gsico_3dgs/counter_gsico_3dgs_mq.mp4</t>
  </si>
  <si>
    <t>movies/gsico_3dgs/drjohnson_gsico_3dgs_hq.mp4</t>
  </si>
  <si>
    <t>movies/gsico_3dgs/drjohnson_gsico_3dgs_lq.mp4</t>
  </si>
  <si>
    <t>movies/gsico_3dgs/drjohnson_gsico_3dgs_mq.mp4</t>
  </si>
  <si>
    <t>movies/gsico_3dgs/flowers_gsico_3dgs_hq.mp4</t>
  </si>
  <si>
    <t>movies/gsico_3dgs/flowers_gsico_3dgs_mq.mp4</t>
  </si>
  <si>
    <t>movies/gsico_3dgs/garden_gsico_3dgs_hq.mp4</t>
  </si>
  <si>
    <t>movies/gsico_3dgs/garden_gsico_3dgs_mq.mp4</t>
  </si>
  <si>
    <t>movies/gsico_3dgs/kitchen_gsico_3dgs_hq.mp4</t>
  </si>
  <si>
    <t>movies/gsico_3dgs/kitchen_gsico_3dgs_mq.mp4</t>
  </si>
  <si>
    <t>movies/gsico_3dgs/playroom_gsico_3dgs_hq.mp4</t>
  </si>
  <si>
    <t>movies/gsico_3dgs/playroom_gsico_3dgs_lq.mp4</t>
  </si>
  <si>
    <t>movies/gsico_3dgs/playroom_gsico_3dgs_mq.mp4</t>
  </si>
  <si>
    <t>movies/gsico_3dgs/ship_gsico_3dgs_hq.mp4</t>
  </si>
  <si>
    <t>movies/gsico_3dgs/ship_gsico_3dgs_lq.mp4</t>
  </si>
  <si>
    <t>movies/gsico_3dgs/ship_gsico_3dgs_mq.mp4</t>
  </si>
  <si>
    <t>movies/gsico_3dgs/train_gsico_3dgs_hq.mp4</t>
  </si>
  <si>
    <t>movies/gsico_3dgs/train_gsico_3dgs_lq.mp4</t>
  </si>
  <si>
    <t>movies/gsico_3dgs/train_gsico_3dgs_mq.mp4</t>
  </si>
  <si>
    <t>movies/gsico_3dgs/truck_gsico_3dgs_hq.mp4</t>
  </si>
  <si>
    <t>movies/gsico_3dgs/truck_gsico_3dgs_lq.mp4</t>
  </si>
  <si>
    <t>movies/gsico_3dgs/truck_gsico_3dgs_mq.mp4</t>
  </si>
  <si>
    <t>movies/gsico_scaffold/africa_gsico_scaffold_hq.mp4</t>
  </si>
  <si>
    <t>movies/gsico_scaffold/africa_gsico_scaffold_lq.mp4</t>
  </si>
  <si>
    <t>movies/gsico_scaffold/basket_gsico_scaffold_hq.mp4</t>
  </si>
  <si>
    <t>movies/gsico_scaffold/basket_gsico_scaffold_lq.mp4</t>
  </si>
  <si>
    <t>movies/gsico_scaffold/bicycle_gsico_scaffold_hq.mp4</t>
  </si>
  <si>
    <t>movies/gsico_scaffold/bicycle_gsico_scaffold_lq.mp4</t>
  </si>
  <si>
    <t>movies/gsico_scaffold/bicycle_gsico_scaffold_mq.mp4</t>
  </si>
  <si>
    <t>movies/gsico_scaffold/bonsai_gsico_scaffold_hq.mp4</t>
  </si>
  <si>
    <t>movies/gsico_scaffold/bonsai_gsico_scaffold_lq.mp4</t>
  </si>
  <si>
    <t>movies/gsico_scaffold/bonsai_gsico_scaffold_mq.mp4</t>
  </si>
  <si>
    <t>movies/gsico_scaffold/counter_gsico_scaffold_hq.mp4</t>
  </si>
  <si>
    <t>movies/gsico_scaffold/counter_gsico_scaffold_lq.mp4</t>
  </si>
  <si>
    <t>movies/gsico_scaffold/counter_gsico_scaffold_mq.mp4</t>
  </si>
  <si>
    <t>movies/gsico_scaffold/drjohnson_gsico_scaffold_hq.mp4</t>
  </si>
  <si>
    <t>movies/gsico_scaffold/drjohnson_gsico_scaffold_lq.mp4</t>
  </si>
  <si>
    <t>movies/gsico_scaffold/drjohnson_gsico_scaffold_mq.mp4</t>
  </si>
  <si>
    <t>movies/gsico_scaffold/flowers_gsico_scaffold_hq.mp4</t>
  </si>
  <si>
    <t>movies/gsico_scaffold/flowers_gsico_scaffold_lq.mp4</t>
  </si>
  <si>
    <t>movies/gsico_scaffold/flowers_gsico_scaffold_mq.mp4</t>
  </si>
  <si>
    <t>movies/gsico_scaffold/garden_gsico_scaffold_hq.mp4</t>
  </si>
  <si>
    <t>movies/gsico_scaffold/garden_gsico_scaffold_lq.mp4</t>
  </si>
  <si>
    <t>movies/gsico_scaffold/garden_gsico_scaffold_mq.mp4</t>
  </si>
  <si>
    <t>movies/gsico_scaffold/kitchen_gsico_scaffold_hq.mp4</t>
  </si>
  <si>
    <t>movies/gsico_scaffold/kitchen_gsico_scaffold_lq.mp4</t>
  </si>
  <si>
    <t>movies/gsico_scaffold/kitchen_gsico_scaffold_mq.mp4</t>
  </si>
  <si>
    <t>movies/gsico_scaffold/playroom_gsico_scaffold_hq.mp4</t>
  </si>
  <si>
    <t>movies/gsico_scaffold/playroom_gsico_scaffold_lq.mp4</t>
  </si>
  <si>
    <t>movies/gsico_scaffold/playroom_gsico_scaffold_mq.mp4</t>
  </si>
  <si>
    <t>movies/gsico_scaffold/ship_gsico_scaffold_hq.mp4</t>
  </si>
  <si>
    <t>movies/gsico_scaffold/ship_gsico_scaffold_lq.mp4</t>
  </si>
  <si>
    <t>movies/gsico_scaffold/train_gsico_scaffold_hq.mp4</t>
  </si>
  <si>
    <t>movies/gsico_scaffold/train_gsico_scaffold_lq.mp4</t>
  </si>
  <si>
    <t>movies/gsico_scaffold/train_gsico_scaffold_mq.mp4</t>
  </si>
  <si>
    <t>movies/gsico_scaffold/truck_gsico_scaffold_hq.mp4</t>
  </si>
  <si>
    <t>movies/gsico_scaffold/truck_gsico_scaffold_lq.mp4</t>
  </si>
  <si>
    <t>movies/gsico_scaffold/truck_gsico_scaffold_mq.mp4</t>
  </si>
  <si>
    <t>movies/hac_plus/africa_hac_plus_hq.mp4</t>
  </si>
  <si>
    <t>movies/hac_plus/africa_hac_plus_lq.mp4</t>
  </si>
  <si>
    <t>movies/hac_plus/africa_hac_plus_mq.mp4</t>
  </si>
  <si>
    <t>movies/hac_plus/basket_hac_plus_hq.mp4</t>
  </si>
  <si>
    <t>movies/hac_plus/basket_hac_plus_lq.mp4</t>
  </si>
  <si>
    <t>movies/hac_plus/basket_hac_plus_mq.mp4</t>
  </si>
  <si>
    <t>movies/hac_plus/bicycle_hac_plus_hq.mp4</t>
  </si>
  <si>
    <t>movies/hac_plus/bicycle_hac_plus_lq.mp4</t>
  </si>
  <si>
    <t>movies/hac_plus/bicycle_hac_plus_mq.mp4</t>
  </si>
  <si>
    <t>movies/hac_plus/bonsai_hac_plus_hq.mp4</t>
  </si>
  <si>
    <t>movies/hac_plus/bonsai_hac_plus_lq.mp4</t>
  </si>
  <si>
    <t>movies/hac_plus/bonsai_hac_plus_mq.mp4</t>
  </si>
  <si>
    <t>movies/hac_plus/counter_hac_plus_hq.mp4</t>
  </si>
  <si>
    <t>movies/hac_plus/counter_hac_plus_lq.mp4</t>
  </si>
  <si>
    <t>movies/hac_plus/counter_hac_plus_mq.mp4</t>
  </si>
  <si>
    <t>movies/hac_plus/drjohnson_hac_plus_hq.mp4</t>
  </si>
  <si>
    <t>movies/hac_plus/drjohnson_hac_plus_lq.mp4</t>
  </si>
  <si>
    <t>movies/hac_plus/drjohnson_hac_plus_mq.mp4</t>
  </si>
  <si>
    <t>movies/hac_plus/flowers_hac_plus_hq.mp4</t>
  </si>
  <si>
    <t>movies/hac_plus/flowers_hac_plus_lq.mp4</t>
  </si>
  <si>
    <t>movies/hac_plus/flowers_hac_plus_mq.mp4</t>
  </si>
  <si>
    <t>movies/hac_plus/garden_hac_plus_hq.mp4</t>
  </si>
  <si>
    <t>movies/hac_plus/garden_hac_plus_lq.mp4</t>
  </si>
  <si>
    <t>movies/hac_plus/garden_hac_plus_mq.mp4</t>
  </si>
  <si>
    <t>movies/hac_plus/kitchen_hac_plus_hq.mp4</t>
  </si>
  <si>
    <t>movies/hac_plus/kitchen_hac_plus_lq.mp4</t>
  </si>
  <si>
    <t>movies/hac_plus/kitchen_hac_plus_mq.mp4</t>
  </si>
  <si>
    <t>movies/hac_plus/playroom_hac_plus_hq.mp4</t>
  </si>
  <si>
    <t>movies/hac_plus/playroom_hac_plus_lq.mp4</t>
  </si>
  <si>
    <t>movies/hac_plus/playroom_hac_plus_mq.mp4</t>
  </si>
  <si>
    <t>movies/hac_plus/ship_hac_plus_hq.mp4</t>
  </si>
  <si>
    <t>movies/hac_plus/ship_hac_plus_lq.mp4</t>
  </si>
  <si>
    <t>movies/hac_plus/ship_hac_plus_mq.mp4</t>
  </si>
  <si>
    <t>movies/hac_plus/train_hac_plus_hq.mp4</t>
  </si>
  <si>
    <t>movies/hac_plus/train_hac_plus_lq.mp4</t>
  </si>
  <si>
    <t>movies/hac_plus/train_hac_plus_mq.mp4</t>
  </si>
  <si>
    <t>movies/hac_plus/truck_hac_plus_hq.mp4</t>
  </si>
  <si>
    <t>movies/hac_plus/truck_hac_plus_lq.mp4</t>
  </si>
  <si>
    <t>movies/hac_plus/truck_hac_plus_mq.mp4</t>
  </si>
  <si>
    <t>movies/lightgaussian/africa_lightgaussian_hq.mp4</t>
  </si>
  <si>
    <t>movies/lightgaussian/africa_lightgaussian_lq.mp4</t>
  </si>
  <si>
    <t>movies/lightgaussian/africa_lightgaussian_mq.mp4</t>
  </si>
  <si>
    <t>movies/lightgaussian/basket_lightgaussian_hq.mp4</t>
  </si>
  <si>
    <t>movies/lightgaussian/basket_lightgaussian_lq.mp4</t>
  </si>
  <si>
    <t>movies/lightgaussian/basket_lightgaussian_mq.mp4</t>
  </si>
  <si>
    <t>movies/lightgaussian/bicycle_lightgaussian_hq.mp4</t>
  </si>
  <si>
    <t>movies/lightgaussian/bicycle_lightgaussian_lq.mp4</t>
  </si>
  <si>
    <t>movies/lightgaussian/bicycle_lightgaussian_mq.mp4</t>
  </si>
  <si>
    <t>movies/lightgaussian/bonsai_lightgaussian_hq.mp4</t>
  </si>
  <si>
    <t>movies/lightgaussian/bonsai_lightgaussian_lq.mp4</t>
  </si>
  <si>
    <t>movies/lightgaussian/bonsai_lightgaussian_mq.mp4</t>
  </si>
  <si>
    <t>movies/lightgaussian/counter_lightgaussian_hq.mp4</t>
  </si>
  <si>
    <t>movies/lightgaussian/counter_lightgaussian_lq.mp4</t>
  </si>
  <si>
    <t>movies/lightgaussian/counter_lightgaussian_mq.mp4</t>
  </si>
  <si>
    <t>movies/lightgaussian/drjohnson_lightgaussian_hq.mp4</t>
  </si>
  <si>
    <t>movies/lightgaussian/drjohnson_lightgaussian_lq.mp4</t>
  </si>
  <si>
    <t>movies/lightgaussian/drjohnson_lightgaussian_mq.mp4</t>
  </si>
  <si>
    <t>movies/lightgaussian/flowers_lightgaussian_hq.mp4</t>
  </si>
  <si>
    <t>movies/lightgaussian/flowers_lightgaussian_lq.mp4</t>
  </si>
  <si>
    <t>movies/lightgaussian/flowers_lightgaussian_mq.mp4</t>
  </si>
  <si>
    <t>movies/lightgaussian/garden_lightgaussian_hq.mp4</t>
  </si>
  <si>
    <t>movies/lightgaussian/garden_lightgaussian_lq.mp4</t>
  </si>
  <si>
    <t>movies/lightgaussian/garden_lightgaussian_mq.mp4</t>
  </si>
  <si>
    <t>movies/lightgaussian/kitchen_lightgaussian_hq.mp4</t>
  </si>
  <si>
    <t>movies/lightgaussian/kitchen_lightgaussian_lq.mp4</t>
  </si>
  <si>
    <t>movies/lightgaussian/kitchen_lightgaussian_mq.mp4</t>
  </si>
  <si>
    <t>movies/lightgaussian/playroom_lightgaussian_hq.mp4</t>
  </si>
  <si>
    <t>movies/lightgaussian/playroom_lightgaussian_lq.mp4</t>
  </si>
  <si>
    <t>movies/lightgaussian/playroom_lightgaussian_mq.mp4</t>
  </si>
  <si>
    <t>movies/lightgaussian/ship_lightgaussian_hq.mp4</t>
  </si>
  <si>
    <t>movies/lightgaussian/ship_lightgaussian_lq.mp4</t>
  </si>
  <si>
    <t>movies/lightgaussian/ship_lightgaussian_mq.mp4</t>
  </si>
  <si>
    <t>movies/lightgaussian/train_lightgaussian_hq.mp4</t>
  </si>
  <si>
    <t>movies/lightgaussian/train_lightgaussian_lq.mp4</t>
  </si>
  <si>
    <t>movies/lightgaussian/train_lightgaussian_mq.mp4</t>
  </si>
  <si>
    <t>movies/lightgaussian/truck_lightgaussian_hq.mp4</t>
  </si>
  <si>
    <t>movies/lightgaussian/truck_lightgaussian_lq.mp4</t>
  </si>
  <si>
    <t>movies/lightgaussian/truck_lightgaussian_mq.mp4</t>
  </si>
  <si>
    <t>movies/reduced3dgs/africa_reduced3dgs_hq.mp4</t>
  </si>
  <si>
    <t>movies/reduced3dgs/africa_reduced3dgs_lq.mp4</t>
  </si>
  <si>
    <t>movies/reduced3dgs/africa_reduced3dgs_mq.mp4</t>
  </si>
  <si>
    <t>movies/reduced3dgs/basket_reduced3dgs_hq.mp4</t>
  </si>
  <si>
    <t>movies/reduced3dgs/basket_reduced3dgs_lq.mp4</t>
  </si>
  <si>
    <t>movies/reduced3dgs/basket_reduced3dgs_mq.mp4</t>
  </si>
  <si>
    <t>movies/reduced3dgs/bicycle_reduced3dgs_hq.mp4</t>
  </si>
  <si>
    <t>movies/reduced3dgs/bicycle_reduced3dgs_lq.mp4</t>
  </si>
  <si>
    <t>movies/reduced3dgs/bicycle_reduced3dgs_mq.mp4</t>
  </si>
  <si>
    <t>movies/reduced3dgs/bonsai_reduced3dgs_hq.mp4</t>
  </si>
  <si>
    <t>movies/reduced3dgs/bonsai_reduced3dgs_lq.mp4</t>
  </si>
  <si>
    <t>movies/reduced3dgs/bonsai_reduced3dgs_mq.mp4</t>
  </si>
  <si>
    <t>movies/reduced3dgs/counter_reduced3dgs_hq.mp4</t>
  </si>
  <si>
    <t>movies/reduced3dgs/counter_reduced3dgs_lq.mp4</t>
  </si>
  <si>
    <t>movies/reduced3dgs/counter_reduced3dgs_mq.mp4</t>
  </si>
  <si>
    <t>movies/reduced3dgs/drjohnson_reduced3dgs_hq.mp4</t>
  </si>
  <si>
    <t>movies/reduced3dgs/drjohnson_reduced3dgs_lq.mp4</t>
  </si>
  <si>
    <t>movies/reduced3dgs/drjohnson_reduced3dgs_mq.mp4</t>
  </si>
  <si>
    <t>movies/reduced3dgs/flowers_reduced3dgs_hq.mp4</t>
  </si>
  <si>
    <t>movies/reduced3dgs/flowers_reduced3dgs_lq.mp4</t>
  </si>
  <si>
    <t>movies/reduced3dgs/flowers_reduced3dgs_mq.mp4</t>
  </si>
  <si>
    <t>movies/reduced3dgs/garden_reduced3dgs_hq.mp4</t>
  </si>
  <si>
    <t>movies/reduced3dgs/garden_reduced3dgs_lq.mp4</t>
  </si>
  <si>
    <t>movies/reduced3dgs/garden_reduced3dgs_mq.mp4</t>
  </si>
  <si>
    <t>movies/reduced3dgs/kitchen_reduced3dgs_hq.mp4</t>
  </si>
  <si>
    <t>movies/reduced3dgs/kitchen_reduced3dgs_lq.mp4</t>
  </si>
  <si>
    <t>movies/reduced3dgs/kitchen_reduced3dgs_mq.mp4</t>
  </si>
  <si>
    <t>movies/reduced3dgs/playroom_reduced3dgs_hq.mp4</t>
  </si>
  <si>
    <t>movies/reduced3dgs/playroom_reduced3dgs_lq.mp4</t>
  </si>
  <si>
    <t>movies/reduced3dgs/playroom_reduced3dgs_mq.mp4</t>
  </si>
  <si>
    <t>movies/reduced3dgs/ship_reduced3dgs_hq.mp4</t>
  </si>
  <si>
    <t>movies/reduced3dgs/ship_reduced3dgs_lq.mp4</t>
  </si>
  <si>
    <t>movies/reduced3dgs/ship_reduced3dgs_mq.mp4</t>
  </si>
  <si>
    <t>movies/reduced3dgs/train_reduced3dgs_hq.mp4</t>
  </si>
  <si>
    <t>movies/reduced3dgs/train_reduced3dgs_lq.mp4</t>
  </si>
  <si>
    <t>movies/reduced3dgs/train_reduced3dgs_mq.mp4</t>
  </si>
  <si>
    <t>movies/reduced3dgs/truck_reduced3dgs_hq.mp4</t>
  </si>
  <si>
    <t>movies/reduced3dgs/truck_reduced3dgs_lq.mp4</t>
  </si>
  <si>
    <t>movies/reduced3dgs/truck_reduced3dgs_mq.mp4</t>
  </si>
  <si>
    <t>movies/sog/africa_sog_hq.mp4</t>
  </si>
  <si>
    <t>movies/sog/africa_sog_mq.mp4</t>
  </si>
  <si>
    <t>movies/sog/basket_sog_hq.mp4</t>
  </si>
  <si>
    <t>movies/sog/basket_sog_mq.mp4</t>
  </si>
  <si>
    <t>movies/sog/bicycle_sog_hq.mp4</t>
  </si>
  <si>
    <t>movies/sog/bicycle_sog_mq.mp4</t>
  </si>
  <si>
    <t>movies/sog/bonsai_sog_hq.mp4</t>
  </si>
  <si>
    <t>movies/sog/bonsai_sog_mq.mp4</t>
  </si>
  <si>
    <t>movies/sog/counter_sog_hq.mp4</t>
  </si>
  <si>
    <t>movies/sog/counter_sog_mq.mp4</t>
  </si>
  <si>
    <t>movies/sog/drjohnson_sog_hq.mp4</t>
  </si>
  <si>
    <t>movies/sog/drjohnson_sog_mq.mp4</t>
  </si>
  <si>
    <t>movies/sog/flowers_sog_hq.mp4</t>
  </si>
  <si>
    <t>movies/sog/flowers_sog_mq.mp4</t>
  </si>
  <si>
    <t>movies/sog/garden_sog_hq.mp4</t>
  </si>
  <si>
    <t>movies/sog/garden_sog_mq.mp4</t>
  </si>
  <si>
    <t>movies/sog/kitchen_sog_hq.mp4</t>
  </si>
  <si>
    <t>movies/sog/kitchen_sog_mq.mp4</t>
  </si>
  <si>
    <t>movies/sog/playroom_sog_hq.mp4</t>
  </si>
  <si>
    <t>movies/sog/playroom_sog_mq.mp4</t>
  </si>
  <si>
    <t>movies/sog/ship_sog_hq.mp4</t>
  </si>
  <si>
    <t>movies/sog/ship_sog_mq.mp4</t>
  </si>
  <si>
    <t>movies/sog/train_sog_hq.mp4</t>
  </si>
  <si>
    <t>movies/sog/train_sog_mq.mp4</t>
  </si>
  <si>
    <t>movies/sog/truck_sog_hq.mp4</t>
  </si>
  <si>
    <t>movies/sog/truck_sog_mq.mp4</t>
  </si>
  <si>
    <t>Sequence</t>
  </si>
  <si>
    <t>Both</t>
  </si>
  <si>
    <t>Better</t>
  </si>
  <si>
    <t>#Better:</t>
  </si>
  <si>
    <t>#Equivalents:</t>
  </si>
  <si>
    <t>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</si>
</sst>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A0A0A"/>
      <name val="Arial Unicode MS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Border="1"/>
    <xf numFmtId="0" fontId="3" fillId="0" borderId="0" xfId="0" applyFont="1" applyBorder="1" applyAlignment="1">
      <alignment vertical="center"/>
    </xf>
    <xf numFmtId="9" fontId="0" fillId="0" borderId="0" xfId="1" applyFont="1" applyBorder="1"/>
    <xf numFmtId="0" fontId="2" fillId="0" borderId="0" xfId="0" applyFont="1" applyBorder="1"/>
    <xf numFmtId="9" fontId="0" fillId="0" borderId="2" xfId="1" applyFont="1" applyBorder="1"/>
    <xf numFmtId="9" fontId="0" fillId="0" borderId="3" xfId="1" applyFont="1" applyBorder="1"/>
    <xf numFmtId="9" fontId="0" fillId="0" borderId="4" xfId="1" applyFont="1" applyBorder="1"/>
    <xf numFmtId="0" fontId="0" fillId="0" borderId="7" xfId="0" applyBorder="1"/>
    <xf numFmtId="0" fontId="3" fillId="0" borderId="5" xfId="0" applyFont="1" applyBorder="1"/>
    <xf numFmtId="0" fontId="3" fillId="0" borderId="6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1" xfId="0" applyFont="1" applyBorder="1"/>
    <xf numFmtId="0" fontId="0" fillId="0" borderId="8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B1461-11C4-B34A-A5E2-ED15E91D3EDC}">
  <dimension ref="A1:P416"/>
  <sheetViews>
    <sheetView tabSelected="1" workbookViewId="0">
      <selection activeCell="I13" sqref="I13"/>
    </sheetView>
  </sheetViews>
  <sheetFormatPr baseColWidth="10" defaultRowHeight="16" x14ac:dyDescent="0.2"/>
  <cols>
    <col min="1" max="1" width="49" style="1" bestFit="1" customWidth="1"/>
    <col min="2" max="10" width="10.83203125" style="1"/>
    <col min="11" max="11" width="13.6640625" style="1" bestFit="1" customWidth="1"/>
    <col min="12" max="16384" width="10.83203125" style="1"/>
  </cols>
  <sheetData>
    <row r="1" spans="1:13" x14ac:dyDescent="0.2">
      <c r="A1" s="4" t="s">
        <v>322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324</v>
      </c>
      <c r="I1" s="4" t="s">
        <v>323</v>
      </c>
    </row>
    <row r="2" spans="1:13" x14ac:dyDescent="0.2">
      <c r="A2" s="1" t="s">
        <v>6</v>
      </c>
      <c r="B2" s="1">
        <v>4.7765555555555554</v>
      </c>
      <c r="C2" s="1">
        <v>0.19169321725780059</v>
      </c>
      <c r="D2" s="1">
        <f>B2-5</f>
        <v>-0.22344444444444456</v>
      </c>
      <c r="E2" s="1">
        <f>D2+C2</f>
        <v>-3.1751227186643971E-2</v>
      </c>
      <c r="F2" s="1">
        <f>D2-C2</f>
        <v>-0.41513766170224514</v>
      </c>
      <c r="G2" s="2" t="b">
        <f>AND(E2 &lt;= $L$2, F2 &gt;= -$L$2, ISNUMBER(SEARCH("hq", A2)))</f>
        <v>1</v>
      </c>
      <c r="H2" s="1" t="b">
        <f>AND(D2&gt;0, F2&gt;=-$L$2, E2&gt;$L$2, ISNUMBER(SEARCH("hq", A2)))</f>
        <v>0</v>
      </c>
      <c r="I2" s="1" t="b">
        <f>AND(OR(G2=TRUE, H2=TRUE), ISNUMBER(SEARCH("hq", A2)))</f>
        <v>1</v>
      </c>
      <c r="K2" s="17" t="s">
        <v>7</v>
      </c>
      <c r="L2" s="18">
        <v>0.5</v>
      </c>
    </row>
    <row r="3" spans="1:13" x14ac:dyDescent="0.2">
      <c r="A3" s="1" t="s">
        <v>8</v>
      </c>
      <c r="B3" s="1">
        <v>3.302111111111111</v>
      </c>
      <c r="C3" s="1">
        <v>0.38993292621385145</v>
      </c>
      <c r="D3" s="1">
        <f t="shared" ref="D3:D66" si="0">B3-5</f>
        <v>-1.697888888888889</v>
      </c>
      <c r="E3" s="1">
        <f t="shared" ref="E3:E66" si="1">D3+C3</f>
        <v>-1.3079559626750377</v>
      </c>
      <c r="F3" s="1">
        <f t="shared" ref="F3:F66" si="2">D3-C3</f>
        <v>-2.0878218151027403</v>
      </c>
      <c r="G3" s="2" t="b">
        <f t="shared" ref="G3:G66" si="3">AND(E3 &lt;= $L$2, F3 &gt;= -$L$2, ISNUMBER(SEARCH("hq", A3)))</f>
        <v>0</v>
      </c>
      <c r="H3" s="1" t="b">
        <f t="shared" ref="H3:H66" si="4">AND(D3&gt;0, F3&gt;=-$L$2, E3&gt;$L$2, ISNUMBER(SEARCH("hq", A3)))</f>
        <v>0</v>
      </c>
      <c r="I3" s="1" t="b">
        <f t="shared" ref="I3:I66" si="5">AND(OR(G3=TRUE, H3=TRUE), ISNUMBER(SEARCH("hq", A3)))</f>
        <v>0</v>
      </c>
    </row>
    <row r="4" spans="1:13" ht="17" x14ac:dyDescent="0.25">
      <c r="A4" s="1" t="s">
        <v>9</v>
      </c>
      <c r="B4" s="1">
        <v>4.4958444444444439</v>
      </c>
      <c r="C4" s="1">
        <v>0.20562961029664703</v>
      </c>
      <c r="D4" s="1">
        <f t="shared" si="0"/>
        <v>-0.50415555555555613</v>
      </c>
      <c r="E4" s="1">
        <f t="shared" si="1"/>
        <v>-0.29852594525890908</v>
      </c>
      <c r="F4" s="1">
        <f t="shared" si="2"/>
        <v>-0.70978516585220319</v>
      </c>
      <c r="G4" s="2" t="b">
        <f t="shared" si="3"/>
        <v>0</v>
      </c>
      <c r="H4" s="1" t="b">
        <f t="shared" si="4"/>
        <v>0</v>
      </c>
      <c r="I4" s="1" t="b">
        <f t="shared" si="5"/>
        <v>0</v>
      </c>
      <c r="K4" s="14" t="s">
        <v>326</v>
      </c>
      <c r="L4" s="9">
        <f>COUNTIF(G2:G306, TRUE)</f>
        <v>94</v>
      </c>
      <c r="M4" s="5">
        <f>L4/305</f>
        <v>0.30819672131147541</v>
      </c>
    </row>
    <row r="5" spans="1:13" ht="17" x14ac:dyDescent="0.25">
      <c r="A5" s="1" t="s">
        <v>10</v>
      </c>
      <c r="B5" s="1">
        <v>4.9156444444444443</v>
      </c>
      <c r="C5" s="1">
        <v>0.21946342437258001</v>
      </c>
      <c r="D5" s="1">
        <f t="shared" si="0"/>
        <v>-8.4355555555555739E-2</v>
      </c>
      <c r="E5" s="1">
        <f t="shared" si="1"/>
        <v>0.13510786881702427</v>
      </c>
      <c r="F5" s="1">
        <f t="shared" si="2"/>
        <v>-0.30381897992813578</v>
      </c>
      <c r="G5" s="2" t="b">
        <f t="shared" si="3"/>
        <v>1</v>
      </c>
      <c r="H5" s="1" t="b">
        <f t="shared" si="4"/>
        <v>0</v>
      </c>
      <c r="I5" s="1" t="b">
        <f t="shared" si="5"/>
        <v>1</v>
      </c>
      <c r="K5" s="15" t="s">
        <v>325</v>
      </c>
      <c r="L5" s="10">
        <f>COUNTIF(H2:H306, TRUE)</f>
        <v>7</v>
      </c>
      <c r="M5" s="6">
        <f t="shared" ref="M5:M6" si="6">L5/305</f>
        <v>2.2950819672131147E-2</v>
      </c>
    </row>
    <row r="6" spans="1:13" x14ac:dyDescent="0.2">
      <c r="A6" s="1" t="s">
        <v>11</v>
      </c>
      <c r="B6" s="1">
        <v>3.8819333333333335</v>
      </c>
      <c r="C6" s="1">
        <v>0.3191214643851456</v>
      </c>
      <c r="D6" s="1">
        <f t="shared" si="0"/>
        <v>-1.1180666666666665</v>
      </c>
      <c r="E6" s="1">
        <f t="shared" si="1"/>
        <v>-0.79894520228152088</v>
      </c>
      <c r="F6" s="1">
        <f t="shared" si="2"/>
        <v>-1.4371881310518122</v>
      </c>
      <c r="G6" s="2" t="b">
        <f t="shared" si="3"/>
        <v>0</v>
      </c>
      <c r="H6" s="1" t="b">
        <f t="shared" si="4"/>
        <v>0</v>
      </c>
      <c r="I6" s="1" t="b">
        <f t="shared" si="5"/>
        <v>0</v>
      </c>
      <c r="K6" s="16" t="s">
        <v>12</v>
      </c>
      <c r="L6" s="8">
        <f>SUM(L4:L5)</f>
        <v>101</v>
      </c>
      <c r="M6" s="7">
        <f t="shared" si="6"/>
        <v>0.33114754098360655</v>
      </c>
    </row>
    <row r="7" spans="1:13" x14ac:dyDescent="0.2">
      <c r="A7" s="1" t="s">
        <v>13</v>
      </c>
      <c r="B7" s="1">
        <v>4.605777777777778</v>
      </c>
      <c r="C7" s="1">
        <v>0.39963110092254284</v>
      </c>
      <c r="D7" s="1">
        <f t="shared" si="0"/>
        <v>-0.39422222222222203</v>
      </c>
      <c r="E7" s="1">
        <f t="shared" si="1"/>
        <v>5.4088787003208072E-3</v>
      </c>
      <c r="F7" s="1">
        <f t="shared" si="2"/>
        <v>-0.79385332314476487</v>
      </c>
      <c r="G7" s="2" t="b">
        <f t="shared" si="3"/>
        <v>0</v>
      </c>
      <c r="H7" s="1" t="b">
        <f t="shared" si="4"/>
        <v>0</v>
      </c>
      <c r="I7" s="1" t="b">
        <f t="shared" si="5"/>
        <v>0</v>
      </c>
    </row>
    <row r="8" spans="1:13" x14ac:dyDescent="0.2">
      <c r="A8" s="1" t="s">
        <v>14</v>
      </c>
      <c r="B8" s="1">
        <v>4.624711111111111</v>
      </c>
      <c r="C8" s="1">
        <v>0.21596051146526074</v>
      </c>
      <c r="D8" s="1">
        <f t="shared" si="0"/>
        <v>-0.37528888888888901</v>
      </c>
      <c r="E8" s="1">
        <f t="shared" si="1"/>
        <v>-0.15932837742362826</v>
      </c>
      <c r="F8" s="1">
        <f t="shared" si="2"/>
        <v>-0.59124940035414975</v>
      </c>
      <c r="G8" s="2" t="b">
        <f t="shared" si="3"/>
        <v>0</v>
      </c>
      <c r="H8" s="1" t="b">
        <f t="shared" si="4"/>
        <v>0</v>
      </c>
      <c r="I8" s="1" t="b">
        <f t="shared" si="5"/>
        <v>0</v>
      </c>
      <c r="K8" s="14" t="s">
        <v>16</v>
      </c>
      <c r="L8" s="11">
        <f>COUNTIFS(A2:A306, "*compact3d*", I2:I306, TRUE)</f>
        <v>11</v>
      </c>
      <c r="M8" s="5">
        <f>L8/13</f>
        <v>0.84615384615384615</v>
      </c>
    </row>
    <row r="9" spans="1:13" x14ac:dyDescent="0.2">
      <c r="A9" s="1" t="s">
        <v>15</v>
      </c>
      <c r="B9" s="1">
        <v>2.2238666666666655</v>
      </c>
      <c r="C9" s="1">
        <v>0.27885435791503987</v>
      </c>
      <c r="D9" s="1">
        <f t="shared" si="0"/>
        <v>-2.7761333333333345</v>
      </c>
      <c r="E9" s="1">
        <f t="shared" si="1"/>
        <v>-2.4972789754182947</v>
      </c>
      <c r="F9" s="1">
        <f t="shared" si="2"/>
        <v>-3.0549876912483742</v>
      </c>
      <c r="G9" s="2" t="b">
        <f t="shared" si="3"/>
        <v>0</v>
      </c>
      <c r="H9" s="1" t="b">
        <f t="shared" si="4"/>
        <v>0</v>
      </c>
      <c r="I9" s="1" t="b">
        <f t="shared" si="5"/>
        <v>0</v>
      </c>
      <c r="K9" s="15" t="s">
        <v>18</v>
      </c>
      <c r="L9" s="12">
        <f>COUNTIFS(A2:A306, "*contextgs*", I2:I306, TRUE)</f>
        <v>12</v>
      </c>
      <c r="M9" s="6">
        <f t="shared" ref="M9:M16" si="7">L9/13</f>
        <v>0.92307692307692313</v>
      </c>
    </row>
    <row r="10" spans="1:13" x14ac:dyDescent="0.2">
      <c r="A10" s="1" t="s">
        <v>17</v>
      </c>
      <c r="B10" s="1">
        <v>3.8111333333333324</v>
      </c>
      <c r="C10" s="1">
        <v>0.49989220669380618</v>
      </c>
      <c r="D10" s="1">
        <f t="shared" si="0"/>
        <v>-1.1888666666666676</v>
      </c>
      <c r="E10" s="1">
        <f t="shared" si="1"/>
        <v>-0.68897445997286144</v>
      </c>
      <c r="F10" s="1">
        <f t="shared" si="2"/>
        <v>-1.6887588733604737</v>
      </c>
      <c r="G10" s="2" t="b">
        <f t="shared" si="3"/>
        <v>0</v>
      </c>
      <c r="H10" s="1" t="b">
        <f t="shared" si="4"/>
        <v>0</v>
      </c>
      <c r="I10" s="1" t="b">
        <f t="shared" si="5"/>
        <v>0</v>
      </c>
      <c r="K10" s="15" t="s">
        <v>20</v>
      </c>
      <c r="L10" s="12">
        <f>COUNTIFS(A2:A306, "*fcgs*", I2:I306, TRUE)</f>
        <v>13</v>
      </c>
      <c r="M10" s="6">
        <f t="shared" si="7"/>
        <v>1</v>
      </c>
    </row>
    <row r="11" spans="1:13" x14ac:dyDescent="0.2">
      <c r="A11" s="1" t="s">
        <v>19</v>
      </c>
      <c r="B11" s="1">
        <v>4.7769999999999992</v>
      </c>
      <c r="C11" s="1">
        <v>0.16316827481079782</v>
      </c>
      <c r="D11" s="1">
        <f t="shared" si="0"/>
        <v>-0.22300000000000075</v>
      </c>
      <c r="E11" s="1">
        <f t="shared" si="1"/>
        <v>-5.9831725189202933E-2</v>
      </c>
      <c r="F11" s="1">
        <f t="shared" si="2"/>
        <v>-0.38616827481079857</v>
      </c>
      <c r="G11" s="2" t="b">
        <f t="shared" si="3"/>
        <v>1</v>
      </c>
      <c r="H11" s="1" t="b">
        <f t="shared" si="4"/>
        <v>0</v>
      </c>
      <c r="I11" s="1" t="b">
        <f t="shared" si="5"/>
        <v>1</v>
      </c>
      <c r="K11" s="15" t="s">
        <v>22</v>
      </c>
      <c r="L11" s="12">
        <f>COUNTIFS(A2:A306, "*gsico_3dgs*", I2:I306, TRUE)</f>
        <v>10</v>
      </c>
      <c r="M11" s="6">
        <f t="shared" si="7"/>
        <v>0.76923076923076927</v>
      </c>
    </row>
    <row r="12" spans="1:13" x14ac:dyDescent="0.2">
      <c r="A12" s="1" t="s">
        <v>21</v>
      </c>
      <c r="B12" s="1">
        <v>2.7090222222222224</v>
      </c>
      <c r="C12" s="1">
        <v>0.31906006267689901</v>
      </c>
      <c r="D12" s="1">
        <f t="shared" si="0"/>
        <v>-2.2909777777777776</v>
      </c>
      <c r="E12" s="1">
        <f t="shared" si="1"/>
        <v>-1.9719177151008784</v>
      </c>
      <c r="F12" s="1">
        <f t="shared" si="2"/>
        <v>-2.6100378404546767</v>
      </c>
      <c r="G12" s="2" t="b">
        <f t="shared" si="3"/>
        <v>0</v>
      </c>
      <c r="H12" s="1" t="b">
        <f t="shared" si="4"/>
        <v>0</v>
      </c>
      <c r="I12" s="1" t="b">
        <f t="shared" si="5"/>
        <v>0</v>
      </c>
      <c r="K12" s="15" t="s">
        <v>24</v>
      </c>
      <c r="L12" s="12">
        <f>COUNTIFS(A2:A306, "*gsico_scaffold*", I2:I306, TRUE)</f>
        <v>12</v>
      </c>
      <c r="M12" s="6">
        <f t="shared" si="7"/>
        <v>0.92307692307692313</v>
      </c>
    </row>
    <row r="13" spans="1:13" x14ac:dyDescent="0.2">
      <c r="A13" s="1" t="s">
        <v>23</v>
      </c>
      <c r="B13" s="1">
        <v>3.8979111111111107</v>
      </c>
      <c r="C13" s="1">
        <v>0.18790618768601119</v>
      </c>
      <c r="D13" s="1">
        <f t="shared" si="0"/>
        <v>-1.1020888888888893</v>
      </c>
      <c r="E13" s="1">
        <f t="shared" si="1"/>
        <v>-0.91418270120287815</v>
      </c>
      <c r="F13" s="1">
        <f t="shared" si="2"/>
        <v>-1.2899950765749004</v>
      </c>
      <c r="G13" s="2" t="b">
        <f t="shared" si="3"/>
        <v>0</v>
      </c>
      <c r="H13" s="1" t="b">
        <f t="shared" si="4"/>
        <v>0</v>
      </c>
      <c r="I13" s="1" t="b">
        <f t="shared" si="5"/>
        <v>0</v>
      </c>
      <c r="K13" s="15" t="s">
        <v>26</v>
      </c>
      <c r="L13" s="12">
        <f>COUNTIFS(A2:A306, "*hac_plus*", I2:I306, TRUE)</f>
        <v>11</v>
      </c>
      <c r="M13" s="6">
        <f t="shared" si="7"/>
        <v>0.84615384615384615</v>
      </c>
    </row>
    <row r="14" spans="1:13" x14ac:dyDescent="0.2">
      <c r="A14" s="1" t="s">
        <v>25</v>
      </c>
      <c r="B14" s="1">
        <v>4.5757111111111097</v>
      </c>
      <c r="C14" s="1">
        <v>0.27002116580669488</v>
      </c>
      <c r="D14" s="1">
        <f t="shared" si="0"/>
        <v>-0.42428888888889027</v>
      </c>
      <c r="E14" s="1">
        <f t="shared" si="1"/>
        <v>-0.15426772308219538</v>
      </c>
      <c r="F14" s="1">
        <f t="shared" si="2"/>
        <v>-0.69431005469558515</v>
      </c>
      <c r="G14" s="2" t="b">
        <f t="shared" si="3"/>
        <v>0</v>
      </c>
      <c r="H14" s="1" t="b">
        <f t="shared" si="4"/>
        <v>0</v>
      </c>
      <c r="I14" s="1" t="b">
        <f t="shared" si="5"/>
        <v>0</v>
      </c>
      <c r="K14" s="15" t="s">
        <v>28</v>
      </c>
      <c r="L14" s="12">
        <f>COUNTIFS(A2:A306, "*lightgaussian*", I2:I306, TRUE)</f>
        <v>8</v>
      </c>
      <c r="M14" s="6">
        <f t="shared" si="7"/>
        <v>0.61538461538461542</v>
      </c>
    </row>
    <row r="15" spans="1:13" x14ac:dyDescent="0.2">
      <c r="A15" s="1" t="s">
        <v>27</v>
      </c>
      <c r="B15" s="1">
        <v>2.2942000000000005</v>
      </c>
      <c r="C15" s="1">
        <v>0.31607706157842591</v>
      </c>
      <c r="D15" s="1">
        <f t="shared" si="0"/>
        <v>-2.7057999999999995</v>
      </c>
      <c r="E15" s="1">
        <f t="shared" si="1"/>
        <v>-2.3897229384215737</v>
      </c>
      <c r="F15" s="1">
        <f t="shared" si="2"/>
        <v>-3.0218770615784254</v>
      </c>
      <c r="G15" s="2" t="b">
        <f t="shared" si="3"/>
        <v>0</v>
      </c>
      <c r="H15" s="1" t="b">
        <f t="shared" si="4"/>
        <v>0</v>
      </c>
      <c r="I15" s="1" t="b">
        <f t="shared" si="5"/>
        <v>0</v>
      </c>
      <c r="K15" s="15" t="s">
        <v>30</v>
      </c>
      <c r="L15" s="12">
        <f>COUNTIFS(A2:A306, "*reduced3dgs*", I2:I306, TRUE)</f>
        <v>12</v>
      </c>
      <c r="M15" s="6">
        <f t="shared" si="7"/>
        <v>0.92307692307692313</v>
      </c>
    </row>
    <row r="16" spans="1:13" x14ac:dyDescent="0.2">
      <c r="A16" s="1" t="s">
        <v>29</v>
      </c>
      <c r="B16" s="1">
        <v>3.3580000000000001</v>
      </c>
      <c r="C16" s="1">
        <v>0.3645382022860002</v>
      </c>
      <c r="D16" s="1">
        <f t="shared" si="0"/>
        <v>-1.6419999999999999</v>
      </c>
      <c r="E16" s="1">
        <f t="shared" si="1"/>
        <v>-1.2774617977139997</v>
      </c>
      <c r="F16" s="1">
        <f t="shared" si="2"/>
        <v>-2.0065382022860003</v>
      </c>
      <c r="G16" s="2" t="b">
        <f t="shared" si="3"/>
        <v>0</v>
      </c>
      <c r="H16" s="1" t="b">
        <f t="shared" si="4"/>
        <v>0</v>
      </c>
      <c r="I16" s="1" t="b">
        <f t="shared" si="5"/>
        <v>0</v>
      </c>
      <c r="K16" s="16" t="s">
        <v>32</v>
      </c>
      <c r="L16" s="13">
        <f>COUNTIFS(A2:A306, "*sog*", I2:I306, TRUE)</f>
        <v>12</v>
      </c>
      <c r="M16" s="7">
        <f t="shared" si="7"/>
        <v>0.92307692307692313</v>
      </c>
    </row>
    <row r="17" spans="1:16" x14ac:dyDescent="0.2">
      <c r="A17" s="1" t="s">
        <v>31</v>
      </c>
      <c r="B17" s="1">
        <v>5.2419555555555553</v>
      </c>
      <c r="C17" s="1">
        <v>0.23019532361639219</v>
      </c>
      <c r="D17" s="1">
        <f t="shared" si="0"/>
        <v>0.24195555555555526</v>
      </c>
      <c r="E17" s="1">
        <f t="shared" si="1"/>
        <v>0.47215087917194742</v>
      </c>
      <c r="F17" s="1">
        <f t="shared" si="2"/>
        <v>1.1760231939163063E-2</v>
      </c>
      <c r="G17" s="2" t="b">
        <f t="shared" si="3"/>
        <v>1</v>
      </c>
      <c r="H17" s="1" t="b">
        <f t="shared" si="4"/>
        <v>0</v>
      </c>
      <c r="I17" s="1" t="b">
        <f t="shared" si="5"/>
        <v>1</v>
      </c>
    </row>
    <row r="18" spans="1:16" x14ac:dyDescent="0.2">
      <c r="A18" s="1" t="s">
        <v>33</v>
      </c>
      <c r="B18" s="1">
        <v>3.6111555555555555</v>
      </c>
      <c r="C18" s="1">
        <v>0.32355148902622871</v>
      </c>
      <c r="D18" s="1">
        <f t="shared" si="0"/>
        <v>-1.3888444444444445</v>
      </c>
      <c r="E18" s="1">
        <f t="shared" si="1"/>
        <v>-1.0652929554182158</v>
      </c>
      <c r="F18" s="1">
        <f t="shared" si="2"/>
        <v>-1.7123959334706733</v>
      </c>
      <c r="G18" s="2" t="b">
        <f t="shared" si="3"/>
        <v>0</v>
      </c>
      <c r="H18" s="1" t="b">
        <f t="shared" si="4"/>
        <v>0</v>
      </c>
      <c r="I18" s="1" t="b">
        <f t="shared" si="5"/>
        <v>0</v>
      </c>
      <c r="K18" s="17" t="s">
        <v>327</v>
      </c>
      <c r="L18" s="18">
        <v>0.1</v>
      </c>
      <c r="M18" s="18">
        <v>0.2</v>
      </c>
      <c r="N18" s="18">
        <v>0.3</v>
      </c>
      <c r="O18" s="18">
        <v>0.4</v>
      </c>
    </row>
    <row r="19" spans="1:16" x14ac:dyDescent="0.2">
      <c r="A19" s="1" t="s">
        <v>34</v>
      </c>
      <c r="B19" s="1">
        <v>4.355488888888889</v>
      </c>
      <c r="C19" s="1">
        <v>0.46158347591522825</v>
      </c>
      <c r="D19" s="1">
        <f t="shared" si="0"/>
        <v>-0.64451111111111103</v>
      </c>
      <c r="E19" s="1">
        <f t="shared" si="1"/>
        <v>-0.18292763519588279</v>
      </c>
      <c r="F19" s="1">
        <f t="shared" si="2"/>
        <v>-1.1060945870263392</v>
      </c>
      <c r="G19" s="2" t="b">
        <f t="shared" si="3"/>
        <v>0</v>
      </c>
      <c r="H19" s="1" t="b">
        <f t="shared" si="4"/>
        <v>0</v>
      </c>
      <c r="I19" s="1" t="b">
        <f t="shared" si="5"/>
        <v>0</v>
      </c>
      <c r="K19" s="15" t="s">
        <v>16</v>
      </c>
      <c r="L19" s="6">
        <v>7.6923076923076927E-2</v>
      </c>
      <c r="M19" s="6">
        <v>0.23076923076923078</v>
      </c>
      <c r="N19" s="6">
        <v>0.38461538461538464</v>
      </c>
      <c r="O19" s="6">
        <v>0.69230769230769229</v>
      </c>
    </row>
    <row r="20" spans="1:16" x14ac:dyDescent="0.2">
      <c r="A20" s="1" t="s">
        <v>35</v>
      </c>
      <c r="B20" s="1">
        <v>4.881044444444445</v>
      </c>
      <c r="C20" s="1">
        <v>0.21960819270538637</v>
      </c>
      <c r="D20" s="1">
        <f t="shared" si="0"/>
        <v>-0.11895555555555504</v>
      </c>
      <c r="E20" s="1">
        <f t="shared" si="1"/>
        <v>0.10065263714983133</v>
      </c>
      <c r="F20" s="1">
        <f t="shared" si="2"/>
        <v>-0.33856374826094138</v>
      </c>
      <c r="G20" s="2" t="b">
        <f t="shared" si="3"/>
        <v>1</v>
      </c>
      <c r="H20" s="1" t="b">
        <f t="shared" si="4"/>
        <v>0</v>
      </c>
      <c r="I20" s="1" t="b">
        <f t="shared" si="5"/>
        <v>1</v>
      </c>
      <c r="K20" s="15" t="s">
        <v>18</v>
      </c>
      <c r="L20" s="6">
        <v>0</v>
      </c>
      <c r="M20" s="6">
        <v>0.46153846153846156</v>
      </c>
      <c r="N20" s="6">
        <v>0.69230769230769229</v>
      </c>
      <c r="O20" s="6">
        <v>0.92307692307692313</v>
      </c>
    </row>
    <row r="21" spans="1:16" x14ac:dyDescent="0.2">
      <c r="A21" s="1" t="s">
        <v>36</v>
      </c>
      <c r="B21" s="1">
        <v>3.4214222222222217</v>
      </c>
      <c r="C21" s="1">
        <v>0.31982838006940245</v>
      </c>
      <c r="D21" s="1">
        <f t="shared" si="0"/>
        <v>-1.5785777777777783</v>
      </c>
      <c r="E21" s="1">
        <f t="shared" si="1"/>
        <v>-1.2587493977083759</v>
      </c>
      <c r="F21" s="1">
        <f t="shared" si="2"/>
        <v>-1.8984061578471807</v>
      </c>
      <c r="G21" s="2" t="b">
        <f t="shared" si="3"/>
        <v>0</v>
      </c>
      <c r="H21" s="1" t="b">
        <f t="shared" si="4"/>
        <v>0</v>
      </c>
      <c r="I21" s="1" t="b">
        <f t="shared" si="5"/>
        <v>0</v>
      </c>
      <c r="K21" s="15" t="s">
        <v>20</v>
      </c>
      <c r="L21" s="6">
        <v>0.38461538461538464</v>
      </c>
      <c r="M21" s="6">
        <v>0.53846153846153844</v>
      </c>
      <c r="N21" s="6">
        <v>0.69230769230769229</v>
      </c>
      <c r="O21" s="6">
        <v>1</v>
      </c>
    </row>
    <row r="22" spans="1:16" x14ac:dyDescent="0.2">
      <c r="A22" s="1" t="s">
        <v>37</v>
      </c>
      <c r="B22" s="1">
        <v>4.1378000000000004</v>
      </c>
      <c r="C22" s="1">
        <v>0.34064337700030117</v>
      </c>
      <c r="D22" s="1">
        <f t="shared" si="0"/>
        <v>-0.86219999999999963</v>
      </c>
      <c r="E22" s="1">
        <f t="shared" si="1"/>
        <v>-0.5215566229996984</v>
      </c>
      <c r="F22" s="1">
        <f t="shared" si="2"/>
        <v>-1.2028433770003009</v>
      </c>
      <c r="G22" s="2" t="b">
        <f t="shared" si="3"/>
        <v>0</v>
      </c>
      <c r="H22" s="1" t="b">
        <f t="shared" si="4"/>
        <v>0</v>
      </c>
      <c r="I22" s="1" t="b">
        <f t="shared" si="5"/>
        <v>0</v>
      </c>
      <c r="K22" s="15" t="s">
        <v>22</v>
      </c>
      <c r="L22" s="6">
        <v>0.30769230769230771</v>
      </c>
      <c r="M22" s="6">
        <v>0.46153846153846156</v>
      </c>
      <c r="N22" s="6">
        <v>0.53846153846153844</v>
      </c>
      <c r="O22" s="6">
        <v>0.69230769230769229</v>
      </c>
      <c r="P22" s="1">
        <v>0.5</v>
      </c>
    </row>
    <row r="23" spans="1:16" x14ac:dyDescent="0.2">
      <c r="A23" s="1" t="s">
        <v>38</v>
      </c>
      <c r="B23" s="1">
        <v>4.9020888888888905</v>
      </c>
      <c r="C23" s="1">
        <v>0.16073904028066732</v>
      </c>
      <c r="D23" s="1">
        <f t="shared" si="0"/>
        <v>-9.7911111111109506E-2</v>
      </c>
      <c r="E23" s="1">
        <f>D23+C23</f>
        <v>6.2827929169557817E-2</v>
      </c>
      <c r="F23" s="1">
        <f t="shared" si="2"/>
        <v>-0.25865015139177683</v>
      </c>
      <c r="G23" s="2" t="b">
        <f t="shared" si="3"/>
        <v>1</v>
      </c>
      <c r="H23" s="1" t="b">
        <f t="shared" si="4"/>
        <v>0</v>
      </c>
      <c r="I23" s="1" t="b">
        <f t="shared" si="5"/>
        <v>1</v>
      </c>
      <c r="K23" s="15" t="s">
        <v>24</v>
      </c>
      <c r="L23" s="6">
        <v>0.15384615384615385</v>
      </c>
      <c r="M23" s="6">
        <v>0.38461538461538464</v>
      </c>
      <c r="N23" s="6">
        <v>0.69230769230769229</v>
      </c>
      <c r="O23" s="6">
        <v>0.84615384615384615</v>
      </c>
      <c r="P23" s="3">
        <v>0.84615384615384615</v>
      </c>
    </row>
    <row r="24" spans="1:16" x14ac:dyDescent="0.2">
      <c r="A24" s="1" t="s">
        <v>39</v>
      </c>
      <c r="B24" s="1">
        <v>3.4547333333333325</v>
      </c>
      <c r="C24" s="1">
        <v>0.42801362448683078</v>
      </c>
      <c r="D24" s="1">
        <f t="shared" si="0"/>
        <v>-1.5452666666666675</v>
      </c>
      <c r="E24" s="1">
        <f t="shared" si="1"/>
        <v>-1.1172530421798368</v>
      </c>
      <c r="F24" s="1">
        <f t="shared" si="2"/>
        <v>-1.9732802911534981</v>
      </c>
      <c r="G24" s="2" t="b">
        <f t="shared" si="3"/>
        <v>0</v>
      </c>
      <c r="H24" s="1" t="b">
        <f t="shared" si="4"/>
        <v>0</v>
      </c>
      <c r="I24" s="1" t="b">
        <f t="shared" si="5"/>
        <v>0</v>
      </c>
      <c r="K24" s="15" t="s">
        <v>26</v>
      </c>
      <c r="L24" s="6">
        <v>0.15384615384615385</v>
      </c>
      <c r="M24" s="6">
        <v>0.38461538461538464</v>
      </c>
      <c r="N24" s="6">
        <v>0.46153846153846156</v>
      </c>
      <c r="O24" s="6">
        <v>0.76923076923076927</v>
      </c>
      <c r="P24" s="3">
        <v>0.92307692307692313</v>
      </c>
    </row>
    <row r="25" spans="1:16" x14ac:dyDescent="0.2">
      <c r="A25" s="1" t="s">
        <v>40</v>
      </c>
      <c r="B25" s="1">
        <v>4.5556222222222216</v>
      </c>
      <c r="C25" s="1">
        <v>0.39564373791494312</v>
      </c>
      <c r="D25" s="1">
        <f t="shared" si="0"/>
        <v>-0.44437777777777843</v>
      </c>
      <c r="E25" s="1">
        <f t="shared" si="1"/>
        <v>-4.873403986283531E-2</v>
      </c>
      <c r="F25" s="1">
        <f t="shared" si="2"/>
        <v>-0.84002151569272154</v>
      </c>
      <c r="G25" s="2" t="b">
        <f t="shared" si="3"/>
        <v>0</v>
      </c>
      <c r="H25" s="1" t="b">
        <f t="shared" si="4"/>
        <v>0</v>
      </c>
      <c r="I25" s="1" t="b">
        <f t="shared" si="5"/>
        <v>0</v>
      </c>
      <c r="K25" s="15" t="s">
        <v>28</v>
      </c>
      <c r="L25" s="6">
        <v>7.6923076923076927E-2</v>
      </c>
      <c r="M25" s="6">
        <v>0.23076923076923078</v>
      </c>
      <c r="N25" s="6">
        <v>0.30769230769230771</v>
      </c>
      <c r="O25" s="6">
        <v>0.46153846153846156</v>
      </c>
      <c r="P25" s="3">
        <v>1</v>
      </c>
    </row>
    <row r="26" spans="1:16" x14ac:dyDescent="0.2">
      <c r="A26" s="1" t="s">
        <v>41</v>
      </c>
      <c r="B26" s="1">
        <v>4.7702888888888904</v>
      </c>
      <c r="C26" s="1">
        <v>0.16805585833232378</v>
      </c>
      <c r="D26" s="1">
        <f t="shared" si="0"/>
        <v>-0.22971111111110964</v>
      </c>
      <c r="E26" s="1">
        <f t="shared" si="1"/>
        <v>-6.1655252778785863E-2</v>
      </c>
      <c r="F26" s="1">
        <f t="shared" si="2"/>
        <v>-0.39776696944343343</v>
      </c>
      <c r="G26" s="2" t="b">
        <f t="shared" si="3"/>
        <v>1</v>
      </c>
      <c r="H26" s="1" t="b">
        <f t="shared" si="4"/>
        <v>0</v>
      </c>
      <c r="I26" s="1" t="b">
        <f t="shared" si="5"/>
        <v>1</v>
      </c>
      <c r="K26" s="15" t="s">
        <v>30</v>
      </c>
      <c r="L26" s="6">
        <v>0.15384615384615385</v>
      </c>
      <c r="M26" s="6">
        <v>0.76923076923076927</v>
      </c>
      <c r="N26" s="6">
        <v>0.76923076923076927</v>
      </c>
      <c r="O26" s="6">
        <v>0.92307692307692313</v>
      </c>
      <c r="P26" s="3">
        <v>0.76923076923076927</v>
      </c>
    </row>
    <row r="27" spans="1:16" x14ac:dyDescent="0.2">
      <c r="A27" s="1" t="s">
        <v>42</v>
      </c>
      <c r="B27" s="1">
        <v>2.6658222222222232</v>
      </c>
      <c r="C27" s="1">
        <v>0.45510551184750125</v>
      </c>
      <c r="D27" s="1">
        <f t="shared" si="0"/>
        <v>-2.3341777777777768</v>
      </c>
      <c r="E27" s="1">
        <f t="shared" si="1"/>
        <v>-1.8790722659302754</v>
      </c>
      <c r="F27" s="1">
        <f t="shared" si="2"/>
        <v>-2.7892832896252782</v>
      </c>
      <c r="G27" s="2" t="b">
        <f t="shared" si="3"/>
        <v>0</v>
      </c>
      <c r="H27" s="1" t="b">
        <f t="shared" si="4"/>
        <v>0</v>
      </c>
      <c r="I27" s="1" t="b">
        <f t="shared" si="5"/>
        <v>0</v>
      </c>
      <c r="K27" s="16" t="s">
        <v>32</v>
      </c>
      <c r="L27" s="7">
        <v>0.38461538461538464</v>
      </c>
      <c r="M27" s="7">
        <v>0.53846153846153844</v>
      </c>
      <c r="N27" s="7">
        <v>0.69230769230769229</v>
      </c>
      <c r="O27" s="7">
        <v>0.76923076923076927</v>
      </c>
      <c r="P27" s="3">
        <v>0.92307692307692313</v>
      </c>
    </row>
    <row r="28" spans="1:16" x14ac:dyDescent="0.2">
      <c r="A28" s="1" t="s">
        <v>43</v>
      </c>
      <c r="B28" s="1">
        <v>3.9473555555555553</v>
      </c>
      <c r="C28" s="1">
        <v>0.39120984445685247</v>
      </c>
      <c r="D28" s="1">
        <f t="shared" si="0"/>
        <v>-1.0526444444444447</v>
      </c>
      <c r="E28" s="1">
        <f t="shared" si="1"/>
        <v>-0.66143459998759224</v>
      </c>
      <c r="F28" s="1">
        <f t="shared" si="2"/>
        <v>-1.4438542889012971</v>
      </c>
      <c r="G28" s="2" t="b">
        <f t="shared" si="3"/>
        <v>0</v>
      </c>
      <c r="H28" s="1" t="b">
        <f t="shared" si="4"/>
        <v>0</v>
      </c>
      <c r="I28" s="1" t="b">
        <f t="shared" si="5"/>
        <v>0</v>
      </c>
      <c r="P28" s="3">
        <v>0.84615384615384615</v>
      </c>
    </row>
    <row r="29" spans="1:16" x14ac:dyDescent="0.2">
      <c r="A29" s="1" t="s">
        <v>44</v>
      </c>
      <c r="B29" s="1">
        <v>4.7271111111111104</v>
      </c>
      <c r="C29" s="1">
        <v>0.17861366719862418</v>
      </c>
      <c r="D29" s="1">
        <f t="shared" si="0"/>
        <v>-0.27288888888888962</v>
      </c>
      <c r="E29" s="1">
        <f t="shared" si="1"/>
        <v>-9.4275221690265448E-2</v>
      </c>
      <c r="F29" s="1">
        <f t="shared" si="2"/>
        <v>-0.45150255608751377</v>
      </c>
      <c r="G29" s="2" t="b">
        <f t="shared" si="3"/>
        <v>1</v>
      </c>
      <c r="H29" s="1" t="b">
        <f t="shared" si="4"/>
        <v>0</v>
      </c>
      <c r="I29" s="1" t="b">
        <f t="shared" si="5"/>
        <v>1</v>
      </c>
      <c r="P29" s="3">
        <v>0.61538461538461542</v>
      </c>
    </row>
    <row r="30" spans="1:16" x14ac:dyDescent="0.2">
      <c r="A30" s="1" t="s">
        <v>45</v>
      </c>
      <c r="B30" s="1">
        <v>2.2720222222222231</v>
      </c>
      <c r="C30" s="1">
        <v>0.32709590887443657</v>
      </c>
      <c r="D30" s="1">
        <f t="shared" si="0"/>
        <v>-2.7279777777777769</v>
      </c>
      <c r="E30" s="1">
        <f t="shared" si="1"/>
        <v>-2.4008818689033404</v>
      </c>
      <c r="F30" s="1">
        <f t="shared" si="2"/>
        <v>-3.0550736866522135</v>
      </c>
      <c r="G30" s="2" t="b">
        <f t="shared" si="3"/>
        <v>0</v>
      </c>
      <c r="H30" s="1" t="b">
        <f t="shared" si="4"/>
        <v>0</v>
      </c>
      <c r="I30" s="1" t="b">
        <f t="shared" si="5"/>
        <v>0</v>
      </c>
      <c r="P30" s="3">
        <v>0.92307692307692313</v>
      </c>
    </row>
    <row r="31" spans="1:16" x14ac:dyDescent="0.2">
      <c r="A31" s="1" t="s">
        <v>46</v>
      </c>
      <c r="B31" s="1">
        <v>4.1703777777777766</v>
      </c>
      <c r="C31" s="1">
        <v>0.38424076260715612</v>
      </c>
      <c r="D31" s="1">
        <f t="shared" si="0"/>
        <v>-0.82962222222222337</v>
      </c>
      <c r="E31" s="1">
        <f t="shared" si="1"/>
        <v>-0.44538145961506725</v>
      </c>
      <c r="F31" s="1">
        <f t="shared" si="2"/>
        <v>-1.2138629848293796</v>
      </c>
      <c r="G31" s="2" t="b">
        <f t="shared" si="3"/>
        <v>0</v>
      </c>
      <c r="H31" s="1" t="b">
        <f t="shared" si="4"/>
        <v>0</v>
      </c>
      <c r="I31" s="1" t="b">
        <f t="shared" si="5"/>
        <v>0</v>
      </c>
      <c r="P31" s="3">
        <v>0.92307692307692313</v>
      </c>
    </row>
    <row r="32" spans="1:16" x14ac:dyDescent="0.2">
      <c r="A32" s="1" t="s">
        <v>47</v>
      </c>
      <c r="B32" s="1">
        <v>4.9700222222222212</v>
      </c>
      <c r="C32" s="1">
        <v>0.24311114525011629</v>
      </c>
      <c r="D32" s="1">
        <f t="shared" si="0"/>
        <v>-2.9977777777778769E-2</v>
      </c>
      <c r="E32" s="1">
        <f t="shared" si="1"/>
        <v>0.21313336747233752</v>
      </c>
      <c r="F32" s="1">
        <f t="shared" si="2"/>
        <v>-0.27308892302789506</v>
      </c>
      <c r="G32" s="2" t="b">
        <f t="shared" si="3"/>
        <v>1</v>
      </c>
      <c r="H32" s="1" t="b">
        <f t="shared" si="4"/>
        <v>0</v>
      </c>
      <c r="I32" s="1" t="b">
        <f t="shared" si="5"/>
        <v>1</v>
      </c>
    </row>
    <row r="33" spans="1:9" x14ac:dyDescent="0.2">
      <c r="A33" s="1" t="s">
        <v>48</v>
      </c>
      <c r="B33" s="1">
        <v>3.4505999999999997</v>
      </c>
      <c r="C33" s="1">
        <v>0.33285766888040408</v>
      </c>
      <c r="D33" s="1">
        <f t="shared" si="0"/>
        <v>-1.5494000000000003</v>
      </c>
      <c r="E33" s="1">
        <f t="shared" si="1"/>
        <v>-1.2165423311195962</v>
      </c>
      <c r="F33" s="1">
        <f t="shared" si="2"/>
        <v>-1.8822576688804045</v>
      </c>
      <c r="G33" s="2" t="b">
        <f t="shared" si="3"/>
        <v>0</v>
      </c>
      <c r="H33" s="1" t="b">
        <f t="shared" si="4"/>
        <v>0</v>
      </c>
      <c r="I33" s="1" t="b">
        <f t="shared" si="5"/>
        <v>0</v>
      </c>
    </row>
    <row r="34" spans="1:9" x14ac:dyDescent="0.2">
      <c r="A34" s="1" t="s">
        <v>49</v>
      </c>
      <c r="B34" s="1">
        <v>3.9383111111111107</v>
      </c>
      <c r="C34" s="1">
        <v>0.30409744911825809</v>
      </c>
      <c r="D34" s="1">
        <f t="shared" si="0"/>
        <v>-1.0616888888888893</v>
      </c>
      <c r="E34" s="1">
        <f t="shared" si="1"/>
        <v>-0.75759143977063126</v>
      </c>
      <c r="F34" s="1">
        <f t="shared" si="2"/>
        <v>-1.3657863380071475</v>
      </c>
      <c r="G34" s="2" t="b">
        <f t="shared" si="3"/>
        <v>0</v>
      </c>
      <c r="H34" s="1" t="b">
        <f t="shared" si="4"/>
        <v>0</v>
      </c>
      <c r="I34" s="1" t="b">
        <f t="shared" si="5"/>
        <v>0</v>
      </c>
    </row>
    <row r="35" spans="1:9" x14ac:dyDescent="0.2">
      <c r="A35" s="1" t="s">
        <v>50</v>
      </c>
      <c r="B35" s="1">
        <v>5.0551999999999992</v>
      </c>
      <c r="C35" s="1">
        <v>0.19842665117222746</v>
      </c>
      <c r="D35" s="1">
        <f t="shared" si="0"/>
        <v>5.519999999999925E-2</v>
      </c>
      <c r="E35" s="1">
        <f t="shared" si="1"/>
        <v>0.25362665117222671</v>
      </c>
      <c r="F35" s="1">
        <f t="shared" si="2"/>
        <v>-0.14322665117222821</v>
      </c>
      <c r="G35" s="2" t="b">
        <f t="shared" si="3"/>
        <v>1</v>
      </c>
      <c r="H35" s="1" t="b">
        <f t="shared" si="4"/>
        <v>0</v>
      </c>
      <c r="I35" s="1" t="b">
        <f t="shared" si="5"/>
        <v>1</v>
      </c>
    </row>
    <row r="36" spans="1:9" x14ac:dyDescent="0.2">
      <c r="A36" s="1" t="s">
        <v>51</v>
      </c>
      <c r="B36" s="1">
        <v>3.8309333333333337</v>
      </c>
      <c r="C36" s="1">
        <v>0.28744105625668731</v>
      </c>
      <c r="D36" s="1">
        <f t="shared" si="0"/>
        <v>-1.1690666666666663</v>
      </c>
      <c r="E36" s="1">
        <f t="shared" si="1"/>
        <v>-0.88162561040997889</v>
      </c>
      <c r="F36" s="1">
        <f t="shared" si="2"/>
        <v>-1.4565077229233536</v>
      </c>
      <c r="G36" s="2" t="b">
        <f t="shared" si="3"/>
        <v>0</v>
      </c>
      <c r="H36" s="1" t="b">
        <f t="shared" si="4"/>
        <v>0</v>
      </c>
      <c r="I36" s="1" t="b">
        <f t="shared" si="5"/>
        <v>0</v>
      </c>
    </row>
    <row r="37" spans="1:9" x14ac:dyDescent="0.2">
      <c r="A37" s="1" t="s">
        <v>52</v>
      </c>
      <c r="B37" s="1">
        <v>4.5995999999999997</v>
      </c>
      <c r="C37" s="1">
        <v>0.22898523628658979</v>
      </c>
      <c r="D37" s="1">
        <f t="shared" si="0"/>
        <v>-0.40040000000000031</v>
      </c>
      <c r="E37" s="1">
        <f t="shared" si="1"/>
        <v>-0.17141476371341052</v>
      </c>
      <c r="F37" s="1">
        <f t="shared" si="2"/>
        <v>-0.62938523628659016</v>
      </c>
      <c r="G37" s="2" t="b">
        <f t="shared" si="3"/>
        <v>0</v>
      </c>
      <c r="H37" s="1" t="b">
        <f t="shared" si="4"/>
        <v>0</v>
      </c>
      <c r="I37" s="1" t="b">
        <f t="shared" si="5"/>
        <v>0</v>
      </c>
    </row>
    <row r="38" spans="1:9" x14ac:dyDescent="0.2">
      <c r="A38" s="1" t="s">
        <v>53</v>
      </c>
      <c r="B38" s="1">
        <v>4.9930000000000003</v>
      </c>
      <c r="C38" s="1">
        <v>0.16998987730631004</v>
      </c>
      <c r="D38" s="1">
        <f t="shared" si="0"/>
        <v>-6.9999999999996732E-3</v>
      </c>
      <c r="E38" s="1">
        <f t="shared" si="1"/>
        <v>0.16298987730631037</v>
      </c>
      <c r="F38" s="1">
        <f t="shared" si="2"/>
        <v>-0.17698987730630972</v>
      </c>
      <c r="G38" s="2" t="b">
        <f t="shared" si="3"/>
        <v>1</v>
      </c>
      <c r="H38" s="1" t="b">
        <f t="shared" si="4"/>
        <v>0</v>
      </c>
      <c r="I38" s="1" t="b">
        <f t="shared" si="5"/>
        <v>1</v>
      </c>
    </row>
    <row r="39" spans="1:9" x14ac:dyDescent="0.2">
      <c r="A39" s="1" t="s">
        <v>54</v>
      </c>
      <c r="B39" s="1">
        <v>3.4152222222222219</v>
      </c>
      <c r="C39" s="1">
        <v>0.38300877686407675</v>
      </c>
      <c r="D39" s="1">
        <f t="shared" si="0"/>
        <v>-1.5847777777777781</v>
      </c>
      <c r="E39" s="1">
        <f t="shared" si="1"/>
        <v>-1.2017690009137012</v>
      </c>
      <c r="F39" s="1">
        <f t="shared" si="2"/>
        <v>-1.9677865546418549</v>
      </c>
      <c r="G39" s="2" t="b">
        <f t="shared" si="3"/>
        <v>0</v>
      </c>
      <c r="H39" s="1" t="b">
        <f t="shared" si="4"/>
        <v>0</v>
      </c>
      <c r="I39" s="1" t="b">
        <f t="shared" si="5"/>
        <v>0</v>
      </c>
    </row>
    <row r="40" spans="1:9" x14ac:dyDescent="0.2">
      <c r="A40" s="1" t="s">
        <v>55</v>
      </c>
      <c r="B40" s="1">
        <v>4.0032666666666668</v>
      </c>
      <c r="C40" s="1">
        <v>0.38163839211703243</v>
      </c>
      <c r="D40" s="1">
        <f t="shared" si="0"/>
        <v>-0.99673333333333325</v>
      </c>
      <c r="E40" s="1">
        <f t="shared" si="1"/>
        <v>-0.61509494121630082</v>
      </c>
      <c r="F40" s="1">
        <f t="shared" si="2"/>
        <v>-1.3783717254503656</v>
      </c>
      <c r="G40" s="2" t="b">
        <f t="shared" si="3"/>
        <v>0</v>
      </c>
      <c r="H40" s="1" t="b">
        <f t="shared" si="4"/>
        <v>0</v>
      </c>
      <c r="I40" s="1" t="b">
        <f t="shared" si="5"/>
        <v>0</v>
      </c>
    </row>
    <row r="41" spans="1:9" x14ac:dyDescent="0.2">
      <c r="A41" s="1" t="s">
        <v>56</v>
      </c>
      <c r="B41" s="1">
        <v>4.972488888888889</v>
      </c>
      <c r="C41" s="1">
        <v>0.20057671131543353</v>
      </c>
      <c r="D41" s="1">
        <f t="shared" si="0"/>
        <v>-2.7511111111111042E-2</v>
      </c>
      <c r="E41" s="1">
        <f t="shared" si="1"/>
        <v>0.17306560020432249</v>
      </c>
      <c r="F41" s="1">
        <f t="shared" si="2"/>
        <v>-0.22808782242654457</v>
      </c>
      <c r="G41" s="2" t="b">
        <f t="shared" si="3"/>
        <v>1</v>
      </c>
      <c r="H41" s="1" t="b">
        <f t="shared" si="4"/>
        <v>0</v>
      </c>
      <c r="I41" s="1" t="b">
        <f t="shared" si="5"/>
        <v>1</v>
      </c>
    </row>
    <row r="42" spans="1:9" x14ac:dyDescent="0.2">
      <c r="A42" s="1" t="s">
        <v>57</v>
      </c>
      <c r="B42" s="1">
        <v>3.6407555555555553</v>
      </c>
      <c r="C42" s="1">
        <v>0.41031191161191088</v>
      </c>
      <c r="D42" s="1">
        <f t="shared" si="0"/>
        <v>-1.3592444444444447</v>
      </c>
      <c r="E42" s="1">
        <f t="shared" si="1"/>
        <v>-0.94893253283253376</v>
      </c>
      <c r="F42" s="1">
        <f t="shared" si="2"/>
        <v>-1.7695563560563556</v>
      </c>
      <c r="G42" s="2" t="b">
        <f t="shared" si="3"/>
        <v>0</v>
      </c>
      <c r="H42" s="1" t="b">
        <f t="shared" si="4"/>
        <v>0</v>
      </c>
      <c r="I42" s="1" t="b">
        <f t="shared" si="5"/>
        <v>0</v>
      </c>
    </row>
    <row r="43" spans="1:9" x14ac:dyDescent="0.2">
      <c r="A43" s="1" t="s">
        <v>58</v>
      </c>
      <c r="B43" s="1">
        <v>3.7489777777777777</v>
      </c>
      <c r="C43" s="1">
        <v>0.44497316179024632</v>
      </c>
      <c r="D43" s="1">
        <f t="shared" si="0"/>
        <v>-1.2510222222222223</v>
      </c>
      <c r="E43" s="1">
        <f t="shared" si="1"/>
        <v>-0.80604906043197588</v>
      </c>
      <c r="F43" s="1">
        <f t="shared" si="2"/>
        <v>-1.6959953840124686</v>
      </c>
      <c r="G43" s="2" t="b">
        <f t="shared" si="3"/>
        <v>0</v>
      </c>
      <c r="H43" s="1" t="b">
        <f t="shared" si="4"/>
        <v>0</v>
      </c>
      <c r="I43" s="1" t="b">
        <f t="shared" si="5"/>
        <v>0</v>
      </c>
    </row>
    <row r="44" spans="1:9" x14ac:dyDescent="0.2">
      <c r="A44" s="1" t="s">
        <v>59</v>
      </c>
      <c r="B44" s="1">
        <v>5.0205111111111105</v>
      </c>
      <c r="C44" s="1">
        <v>0.27832407626173983</v>
      </c>
      <c r="D44" s="1">
        <f t="shared" si="0"/>
        <v>2.051111111111048E-2</v>
      </c>
      <c r="E44" s="1">
        <f t="shared" si="1"/>
        <v>0.29883518737285031</v>
      </c>
      <c r="F44" s="1">
        <f t="shared" si="2"/>
        <v>-0.25781296515062935</v>
      </c>
      <c r="G44" s="2" t="b">
        <f t="shared" si="3"/>
        <v>1</v>
      </c>
      <c r="H44" s="1" t="b">
        <f t="shared" si="4"/>
        <v>0</v>
      </c>
      <c r="I44" s="1" t="b">
        <f t="shared" si="5"/>
        <v>1</v>
      </c>
    </row>
    <row r="45" spans="1:9" x14ac:dyDescent="0.2">
      <c r="A45" s="1" t="s">
        <v>60</v>
      </c>
      <c r="B45" s="1">
        <v>3.4370222222222226</v>
      </c>
      <c r="C45" s="1">
        <v>0.42139386033662196</v>
      </c>
      <c r="D45" s="1">
        <f t="shared" si="0"/>
        <v>-1.5629777777777774</v>
      </c>
      <c r="E45" s="1">
        <f t="shared" si="1"/>
        <v>-1.1415839174411553</v>
      </c>
      <c r="F45" s="1">
        <f t="shared" si="2"/>
        <v>-1.9843716381143994</v>
      </c>
      <c r="G45" s="2" t="b">
        <f t="shared" si="3"/>
        <v>0</v>
      </c>
      <c r="H45" s="1" t="b">
        <f t="shared" si="4"/>
        <v>0</v>
      </c>
      <c r="I45" s="1" t="b">
        <f t="shared" si="5"/>
        <v>0</v>
      </c>
    </row>
    <row r="46" spans="1:9" x14ac:dyDescent="0.2">
      <c r="A46" s="1" t="s">
        <v>61</v>
      </c>
      <c r="B46" s="1">
        <v>4.2691777777777773</v>
      </c>
      <c r="C46" s="1">
        <v>0.4042703270625434</v>
      </c>
      <c r="D46" s="1">
        <f t="shared" si="0"/>
        <v>-0.73082222222222271</v>
      </c>
      <c r="E46" s="1">
        <f t="shared" si="1"/>
        <v>-0.32655189515967931</v>
      </c>
      <c r="F46" s="1">
        <f t="shared" si="2"/>
        <v>-1.1350925492847661</v>
      </c>
      <c r="G46" s="2" t="b">
        <f t="shared" si="3"/>
        <v>0</v>
      </c>
      <c r="H46" s="1" t="b">
        <f t="shared" si="4"/>
        <v>0</v>
      </c>
      <c r="I46" s="1" t="b">
        <f t="shared" si="5"/>
        <v>0</v>
      </c>
    </row>
    <row r="47" spans="1:9" x14ac:dyDescent="0.2">
      <c r="A47" s="1" t="s">
        <v>62</v>
      </c>
      <c r="B47" s="1">
        <v>4.9493777777777783</v>
      </c>
      <c r="C47" s="1">
        <v>0.25283205518472684</v>
      </c>
      <c r="D47" s="1">
        <f t="shared" si="0"/>
        <v>-5.062222222222168E-2</v>
      </c>
      <c r="E47" s="1">
        <f t="shared" si="1"/>
        <v>0.20220983296250516</v>
      </c>
      <c r="F47" s="1">
        <f t="shared" si="2"/>
        <v>-0.30345427740694852</v>
      </c>
      <c r="G47" s="2" t="b">
        <f t="shared" si="3"/>
        <v>1</v>
      </c>
      <c r="H47" s="1" t="b">
        <f t="shared" si="4"/>
        <v>0</v>
      </c>
      <c r="I47" s="1" t="b">
        <f t="shared" si="5"/>
        <v>1</v>
      </c>
    </row>
    <row r="48" spans="1:9" x14ac:dyDescent="0.2">
      <c r="A48" s="1" t="s">
        <v>63</v>
      </c>
      <c r="B48" s="1">
        <v>2.9934000000000007</v>
      </c>
      <c r="C48" s="1">
        <v>0.33525966402599561</v>
      </c>
      <c r="D48" s="1">
        <f t="shared" si="0"/>
        <v>-2.0065999999999993</v>
      </c>
      <c r="E48" s="1">
        <f t="shared" si="1"/>
        <v>-1.6713403359740036</v>
      </c>
      <c r="F48" s="1">
        <f t="shared" si="2"/>
        <v>-2.341859664025995</v>
      </c>
      <c r="G48" s="2" t="b">
        <f t="shared" si="3"/>
        <v>0</v>
      </c>
      <c r="H48" s="1" t="b">
        <f t="shared" si="4"/>
        <v>0</v>
      </c>
      <c r="I48" s="1" t="b">
        <f t="shared" si="5"/>
        <v>0</v>
      </c>
    </row>
    <row r="49" spans="1:9" x14ac:dyDescent="0.2">
      <c r="A49" s="1" t="s">
        <v>64</v>
      </c>
      <c r="B49" s="1">
        <v>3.7731111111111106</v>
      </c>
      <c r="C49" s="1">
        <v>0.34859410058046114</v>
      </c>
      <c r="D49" s="1">
        <f t="shared" si="0"/>
        <v>-1.2268888888888894</v>
      </c>
      <c r="E49" s="1">
        <f t="shared" si="1"/>
        <v>-0.87829478830842822</v>
      </c>
      <c r="F49" s="1">
        <f t="shared" si="2"/>
        <v>-1.5754829894693505</v>
      </c>
      <c r="G49" s="2" t="b">
        <f t="shared" si="3"/>
        <v>0</v>
      </c>
      <c r="H49" s="1" t="b">
        <f t="shared" si="4"/>
        <v>0</v>
      </c>
      <c r="I49" s="1" t="b">
        <f t="shared" si="5"/>
        <v>0</v>
      </c>
    </row>
    <row r="50" spans="1:9" x14ac:dyDescent="0.2">
      <c r="A50" s="1" t="s">
        <v>65</v>
      </c>
      <c r="B50" s="1">
        <v>5.0744666666666678</v>
      </c>
      <c r="C50" s="1">
        <v>0.18956580162388784</v>
      </c>
      <c r="D50" s="1">
        <f t="shared" si="0"/>
        <v>7.4466666666667791E-2</v>
      </c>
      <c r="E50" s="1">
        <f t="shared" si="1"/>
        <v>0.2640324682905556</v>
      </c>
      <c r="F50" s="1">
        <f t="shared" si="2"/>
        <v>-0.11509913495722005</v>
      </c>
      <c r="G50" s="2" t="b">
        <f t="shared" si="3"/>
        <v>1</v>
      </c>
      <c r="H50" s="1" t="b">
        <f t="shared" si="4"/>
        <v>0</v>
      </c>
      <c r="I50" s="1" t="b">
        <f t="shared" si="5"/>
        <v>1</v>
      </c>
    </row>
    <row r="51" spans="1:9" x14ac:dyDescent="0.2">
      <c r="A51" s="1" t="s">
        <v>66</v>
      </c>
      <c r="B51" s="1">
        <v>2.5238444444444434</v>
      </c>
      <c r="C51" s="1">
        <v>0.33424270796381916</v>
      </c>
      <c r="D51" s="1">
        <f t="shared" si="0"/>
        <v>-2.4761555555555566</v>
      </c>
      <c r="E51" s="1">
        <f t="shared" si="1"/>
        <v>-2.1419128475917373</v>
      </c>
      <c r="F51" s="1">
        <f t="shared" si="2"/>
        <v>-2.8103982635193758</v>
      </c>
      <c r="G51" s="2" t="b">
        <f t="shared" si="3"/>
        <v>0</v>
      </c>
      <c r="H51" s="1" t="b">
        <f t="shared" si="4"/>
        <v>0</v>
      </c>
      <c r="I51" s="1" t="b">
        <f t="shared" si="5"/>
        <v>0</v>
      </c>
    </row>
    <row r="52" spans="1:9" x14ac:dyDescent="0.2">
      <c r="A52" s="1" t="s">
        <v>67</v>
      </c>
      <c r="B52" s="1">
        <v>3.0262888888888897</v>
      </c>
      <c r="C52" s="1">
        <v>0.3773756958516632</v>
      </c>
      <c r="D52" s="1">
        <f t="shared" si="0"/>
        <v>-1.9737111111111103</v>
      </c>
      <c r="E52" s="1">
        <f t="shared" si="1"/>
        <v>-1.5963354152594471</v>
      </c>
      <c r="F52" s="1">
        <f t="shared" si="2"/>
        <v>-2.3510868069627735</v>
      </c>
      <c r="G52" s="2" t="b">
        <f t="shared" si="3"/>
        <v>0</v>
      </c>
      <c r="H52" s="1" t="b">
        <f t="shared" si="4"/>
        <v>0</v>
      </c>
      <c r="I52" s="1" t="b">
        <f t="shared" si="5"/>
        <v>0</v>
      </c>
    </row>
    <row r="53" spans="1:9" x14ac:dyDescent="0.2">
      <c r="A53" s="1" t="s">
        <v>68</v>
      </c>
      <c r="B53" s="1">
        <v>5.007822222222222</v>
      </c>
      <c r="C53" s="1">
        <v>0.20139497781768165</v>
      </c>
      <c r="D53" s="1">
        <f t="shared" si="0"/>
        <v>7.8222222222219528E-3</v>
      </c>
      <c r="E53" s="1">
        <f t="shared" si="1"/>
        <v>0.2092172000399036</v>
      </c>
      <c r="F53" s="1">
        <f t="shared" si="2"/>
        <v>-0.19357275559545969</v>
      </c>
      <c r="G53" s="2" t="b">
        <f t="shared" si="3"/>
        <v>1</v>
      </c>
      <c r="H53" s="1" t="b">
        <f t="shared" si="4"/>
        <v>0</v>
      </c>
      <c r="I53" s="1" t="b">
        <f t="shared" si="5"/>
        <v>1</v>
      </c>
    </row>
    <row r="54" spans="1:9" x14ac:dyDescent="0.2">
      <c r="A54" s="1" t="s">
        <v>69</v>
      </c>
      <c r="B54" s="1">
        <v>2.3152888888888898</v>
      </c>
      <c r="C54" s="1">
        <v>0.41551554075517938</v>
      </c>
      <c r="D54" s="1">
        <f t="shared" si="0"/>
        <v>-2.6847111111111102</v>
      </c>
      <c r="E54" s="1">
        <f t="shared" si="1"/>
        <v>-2.2691955703559308</v>
      </c>
      <c r="F54" s="1">
        <f t="shared" si="2"/>
        <v>-3.1002266518662895</v>
      </c>
      <c r="G54" s="2" t="b">
        <f t="shared" si="3"/>
        <v>0</v>
      </c>
      <c r="H54" s="1" t="b">
        <f t="shared" si="4"/>
        <v>0</v>
      </c>
      <c r="I54" s="1" t="b">
        <f t="shared" si="5"/>
        <v>0</v>
      </c>
    </row>
    <row r="55" spans="1:9" x14ac:dyDescent="0.2">
      <c r="A55" s="1" t="s">
        <v>70</v>
      </c>
      <c r="B55" s="1">
        <v>2.634155555555556</v>
      </c>
      <c r="C55" s="1">
        <v>0.27502749374121516</v>
      </c>
      <c r="D55" s="1">
        <f t="shared" si="0"/>
        <v>-2.365844444444444</v>
      </c>
      <c r="E55" s="1">
        <f t="shared" si="1"/>
        <v>-2.0908169507032288</v>
      </c>
      <c r="F55" s="1">
        <f t="shared" si="2"/>
        <v>-2.6408719381856591</v>
      </c>
      <c r="G55" s="2" t="b">
        <f t="shared" si="3"/>
        <v>0</v>
      </c>
      <c r="H55" s="1" t="b">
        <f t="shared" si="4"/>
        <v>0</v>
      </c>
      <c r="I55" s="1" t="b">
        <f t="shared" si="5"/>
        <v>0</v>
      </c>
    </row>
    <row r="56" spans="1:9" x14ac:dyDescent="0.2">
      <c r="A56" s="1" t="s">
        <v>71</v>
      </c>
      <c r="B56" s="1">
        <v>4.4893333333333336</v>
      </c>
      <c r="C56" s="1">
        <v>0.26856835559067743</v>
      </c>
      <c r="D56" s="1">
        <f t="shared" si="0"/>
        <v>-0.51066666666666638</v>
      </c>
      <c r="E56" s="1">
        <f t="shared" si="1"/>
        <v>-0.24209831107598895</v>
      </c>
      <c r="F56" s="1">
        <f t="shared" si="2"/>
        <v>-0.77923502225734387</v>
      </c>
      <c r="G56" s="2" t="b">
        <f t="shared" si="3"/>
        <v>0</v>
      </c>
      <c r="H56" s="1" t="b">
        <f t="shared" si="4"/>
        <v>0</v>
      </c>
      <c r="I56" s="1" t="b">
        <f t="shared" si="5"/>
        <v>0</v>
      </c>
    </row>
    <row r="57" spans="1:9" x14ac:dyDescent="0.2">
      <c r="A57" s="1" t="s">
        <v>72</v>
      </c>
      <c r="B57" s="1">
        <v>3.3160444444444437</v>
      </c>
      <c r="C57" s="1">
        <v>0.40440141577605676</v>
      </c>
      <c r="D57" s="1">
        <f t="shared" si="0"/>
        <v>-1.6839555555555563</v>
      </c>
      <c r="E57" s="1">
        <f t="shared" si="1"/>
        <v>-1.2795541397794996</v>
      </c>
      <c r="F57" s="1">
        <f t="shared" si="2"/>
        <v>-2.088356971331613</v>
      </c>
      <c r="G57" s="2" t="b">
        <f t="shared" si="3"/>
        <v>0</v>
      </c>
      <c r="H57" s="1" t="b">
        <f t="shared" si="4"/>
        <v>0</v>
      </c>
      <c r="I57" s="1" t="b">
        <f t="shared" si="5"/>
        <v>0</v>
      </c>
    </row>
    <row r="58" spans="1:9" x14ac:dyDescent="0.2">
      <c r="A58" s="1" t="s">
        <v>73</v>
      </c>
      <c r="B58" s="1">
        <v>3.8448444444444445</v>
      </c>
      <c r="C58" s="1">
        <v>0.41305749387801888</v>
      </c>
      <c r="D58" s="1">
        <f t="shared" si="0"/>
        <v>-1.1551555555555555</v>
      </c>
      <c r="E58" s="1">
        <f t="shared" si="1"/>
        <v>-0.74209806167753656</v>
      </c>
      <c r="F58" s="1">
        <f t="shared" si="2"/>
        <v>-1.5682130494335744</v>
      </c>
      <c r="G58" s="2" t="b">
        <f t="shared" si="3"/>
        <v>0</v>
      </c>
      <c r="H58" s="1" t="b">
        <f t="shared" si="4"/>
        <v>0</v>
      </c>
      <c r="I58" s="1" t="b">
        <f t="shared" si="5"/>
        <v>0</v>
      </c>
    </row>
    <row r="59" spans="1:9" x14ac:dyDescent="0.2">
      <c r="A59" s="1" t="s">
        <v>74</v>
      </c>
      <c r="B59" s="1">
        <v>5.0587777777777774</v>
      </c>
      <c r="C59" s="1">
        <v>0.24268015209521299</v>
      </c>
      <c r="D59" s="1">
        <f t="shared" si="0"/>
        <v>5.8777777777777374E-2</v>
      </c>
      <c r="E59" s="1">
        <f t="shared" si="1"/>
        <v>0.30145792987299036</v>
      </c>
      <c r="F59" s="1">
        <f t="shared" si="2"/>
        <v>-0.18390237431743561</v>
      </c>
      <c r="G59" s="2" t="b">
        <f t="shared" si="3"/>
        <v>1</v>
      </c>
      <c r="H59" s="1" t="b">
        <f t="shared" si="4"/>
        <v>0</v>
      </c>
      <c r="I59" s="1" t="b">
        <f t="shared" si="5"/>
        <v>1</v>
      </c>
    </row>
    <row r="60" spans="1:9" x14ac:dyDescent="0.2">
      <c r="A60" s="1" t="s">
        <v>75</v>
      </c>
      <c r="B60" s="1">
        <v>2.8551111111111114</v>
      </c>
      <c r="C60" s="1">
        <v>0.33498929009999051</v>
      </c>
      <c r="D60" s="1">
        <f t="shared" si="0"/>
        <v>-2.1448888888888886</v>
      </c>
      <c r="E60" s="1">
        <f t="shared" si="1"/>
        <v>-1.8098995987888982</v>
      </c>
      <c r="F60" s="1">
        <f t="shared" si="2"/>
        <v>-2.4798781789888791</v>
      </c>
      <c r="G60" s="2" t="b">
        <f t="shared" si="3"/>
        <v>0</v>
      </c>
      <c r="H60" s="1" t="b">
        <f t="shared" si="4"/>
        <v>0</v>
      </c>
      <c r="I60" s="1" t="b">
        <f t="shared" si="5"/>
        <v>0</v>
      </c>
    </row>
    <row r="61" spans="1:9" x14ac:dyDescent="0.2">
      <c r="A61" s="1" t="s">
        <v>76</v>
      </c>
      <c r="B61" s="1">
        <v>3.6996444444444441</v>
      </c>
      <c r="C61" s="1">
        <v>0.39513895294627976</v>
      </c>
      <c r="D61" s="1">
        <f t="shared" si="0"/>
        <v>-1.3003555555555559</v>
      </c>
      <c r="E61" s="1">
        <f t="shared" si="1"/>
        <v>-0.90521660260927617</v>
      </c>
      <c r="F61" s="1">
        <f t="shared" si="2"/>
        <v>-1.6954945085018358</v>
      </c>
      <c r="G61" s="2" t="b">
        <f t="shared" si="3"/>
        <v>0</v>
      </c>
      <c r="H61" s="1" t="b">
        <f t="shared" si="4"/>
        <v>0</v>
      </c>
      <c r="I61" s="1" t="b">
        <f t="shared" si="5"/>
        <v>0</v>
      </c>
    </row>
    <row r="62" spans="1:9" x14ac:dyDescent="0.2">
      <c r="A62" s="1" t="s">
        <v>77</v>
      </c>
      <c r="B62" s="1">
        <v>5.0275555555555567</v>
      </c>
      <c r="C62" s="1">
        <v>0.22012519090689425</v>
      </c>
      <c r="D62" s="1">
        <f t="shared" si="0"/>
        <v>2.7555555555556666E-2</v>
      </c>
      <c r="E62" s="1">
        <f t="shared" si="1"/>
        <v>0.24768074646245092</v>
      </c>
      <c r="F62" s="1">
        <f t="shared" si="2"/>
        <v>-0.19256963535133759</v>
      </c>
      <c r="G62" s="2" t="b">
        <f t="shared" si="3"/>
        <v>1</v>
      </c>
      <c r="H62" s="1" t="b">
        <f t="shared" si="4"/>
        <v>0</v>
      </c>
      <c r="I62" s="1" t="b">
        <f t="shared" si="5"/>
        <v>1</v>
      </c>
    </row>
    <row r="63" spans="1:9" x14ac:dyDescent="0.2">
      <c r="A63" s="1" t="s">
        <v>78</v>
      </c>
      <c r="B63" s="1">
        <v>3.0592888888888883</v>
      </c>
      <c r="C63" s="1">
        <v>0.42760933715102861</v>
      </c>
      <c r="D63" s="1">
        <f t="shared" si="0"/>
        <v>-1.9407111111111117</v>
      </c>
      <c r="E63" s="1">
        <f t="shared" si="1"/>
        <v>-1.5131017739600832</v>
      </c>
      <c r="F63" s="1">
        <f t="shared" si="2"/>
        <v>-2.3683204482621405</v>
      </c>
      <c r="G63" s="2" t="b">
        <f t="shared" si="3"/>
        <v>0</v>
      </c>
      <c r="H63" s="1" t="b">
        <f t="shared" si="4"/>
        <v>0</v>
      </c>
      <c r="I63" s="1" t="b">
        <f t="shared" si="5"/>
        <v>0</v>
      </c>
    </row>
    <row r="64" spans="1:9" x14ac:dyDescent="0.2">
      <c r="A64" s="1" t="s">
        <v>79</v>
      </c>
      <c r="B64" s="1">
        <v>3.9506444444444448</v>
      </c>
      <c r="C64" s="1">
        <v>0.34447573421636335</v>
      </c>
      <c r="D64" s="1">
        <f t="shared" si="0"/>
        <v>-1.0493555555555552</v>
      </c>
      <c r="E64" s="1">
        <f t="shared" si="1"/>
        <v>-0.7048798213391918</v>
      </c>
      <c r="F64" s="1">
        <f t="shared" si="2"/>
        <v>-1.3938312897719185</v>
      </c>
      <c r="G64" s="2" t="b">
        <f t="shared" si="3"/>
        <v>0</v>
      </c>
      <c r="H64" s="1" t="b">
        <f t="shared" si="4"/>
        <v>0</v>
      </c>
      <c r="I64" s="1" t="b">
        <f t="shared" si="5"/>
        <v>0</v>
      </c>
    </row>
    <row r="65" spans="1:9" x14ac:dyDescent="0.2">
      <c r="A65" s="1" t="s">
        <v>80</v>
      </c>
      <c r="B65" s="1">
        <v>5.0608666666666675</v>
      </c>
      <c r="C65" s="1">
        <v>0.21777377191086994</v>
      </c>
      <c r="D65" s="1">
        <f t="shared" si="0"/>
        <v>6.0866666666667513E-2</v>
      </c>
      <c r="E65" s="1">
        <f t="shared" si="1"/>
        <v>0.27864043857753745</v>
      </c>
      <c r="F65" s="1">
        <f t="shared" si="2"/>
        <v>-0.15690710524420243</v>
      </c>
      <c r="G65" s="2" t="b">
        <f t="shared" si="3"/>
        <v>1</v>
      </c>
      <c r="H65" s="1" t="b">
        <f t="shared" si="4"/>
        <v>0</v>
      </c>
      <c r="I65" s="1" t="b">
        <f t="shared" si="5"/>
        <v>1</v>
      </c>
    </row>
    <row r="66" spans="1:9" x14ac:dyDescent="0.2">
      <c r="A66" s="1" t="s">
        <v>81</v>
      </c>
      <c r="B66" s="1">
        <v>2.5296222222222227</v>
      </c>
      <c r="C66" s="1">
        <v>0.31801168935951935</v>
      </c>
      <c r="D66" s="1">
        <f t="shared" si="0"/>
        <v>-2.4703777777777773</v>
      </c>
      <c r="E66" s="1">
        <f t="shared" si="1"/>
        <v>-2.1523660884182578</v>
      </c>
      <c r="F66" s="1">
        <f t="shared" si="2"/>
        <v>-2.7883894671372969</v>
      </c>
      <c r="G66" s="2" t="b">
        <f t="shared" si="3"/>
        <v>0</v>
      </c>
      <c r="H66" s="1" t="b">
        <f t="shared" si="4"/>
        <v>0</v>
      </c>
      <c r="I66" s="1" t="b">
        <f t="shared" si="5"/>
        <v>0</v>
      </c>
    </row>
    <row r="67" spans="1:9" x14ac:dyDescent="0.2">
      <c r="A67" s="1" t="s">
        <v>82</v>
      </c>
      <c r="B67" s="1">
        <v>3.4427555555555562</v>
      </c>
      <c r="C67" s="1">
        <v>0.29084177517480253</v>
      </c>
      <c r="D67" s="1">
        <f t="shared" ref="D67:D130" si="8">B67-5</f>
        <v>-1.5572444444444438</v>
      </c>
      <c r="E67" s="1">
        <f t="shared" ref="E67:E130" si="9">D67+C67</f>
        <v>-1.2664026692696413</v>
      </c>
      <c r="F67" s="1">
        <f t="shared" ref="F67:F130" si="10">D67-C67</f>
        <v>-1.8480862196192462</v>
      </c>
      <c r="G67" s="2" t="b">
        <f t="shared" ref="G67:G130" si="11">AND(E67 &lt;= $L$2, F67 &gt;= -$L$2, ISNUMBER(SEARCH("hq", A67)))</f>
        <v>0</v>
      </c>
      <c r="H67" s="1" t="b">
        <f t="shared" ref="H67:H130" si="12">AND(D67&gt;0, F67&gt;=-$L$2, E67&gt;$L$2, ISNUMBER(SEARCH("hq", A67)))</f>
        <v>0</v>
      </c>
      <c r="I67" s="1" t="b">
        <f t="shared" ref="I67:I130" si="13">AND(OR(G67=TRUE, H67=TRUE), ISNUMBER(SEARCH("hq", A67)))</f>
        <v>0</v>
      </c>
    </row>
    <row r="68" spans="1:9" x14ac:dyDescent="0.2">
      <c r="A68" s="1" t="s">
        <v>83</v>
      </c>
      <c r="B68" s="1">
        <v>4.897955555555555</v>
      </c>
      <c r="C68" s="1">
        <v>0.21705874499674363</v>
      </c>
      <c r="D68" s="1">
        <f t="shared" si="8"/>
        <v>-0.10204444444444505</v>
      </c>
      <c r="E68" s="1">
        <f t="shared" si="9"/>
        <v>0.11501430055229858</v>
      </c>
      <c r="F68" s="1">
        <f t="shared" si="10"/>
        <v>-0.31910318944118865</v>
      </c>
      <c r="G68" s="2" t="b">
        <f t="shared" si="11"/>
        <v>1</v>
      </c>
      <c r="H68" s="1" t="b">
        <f t="shared" si="12"/>
        <v>0</v>
      </c>
      <c r="I68" s="1" t="b">
        <f t="shared" si="13"/>
        <v>1</v>
      </c>
    </row>
    <row r="69" spans="1:9" x14ac:dyDescent="0.2">
      <c r="A69" s="1" t="s">
        <v>84</v>
      </c>
      <c r="B69" s="1">
        <v>2.4876444444444452</v>
      </c>
      <c r="C69" s="1">
        <v>0.39449217135435555</v>
      </c>
      <c r="D69" s="1">
        <f t="shared" si="8"/>
        <v>-2.5123555555555548</v>
      </c>
      <c r="E69" s="1">
        <f t="shared" si="9"/>
        <v>-2.1178633842011991</v>
      </c>
      <c r="F69" s="1">
        <f t="shared" si="10"/>
        <v>-2.9068477269099104</v>
      </c>
      <c r="G69" s="2" t="b">
        <f t="shared" si="11"/>
        <v>0</v>
      </c>
      <c r="H69" s="1" t="b">
        <f t="shared" si="12"/>
        <v>0</v>
      </c>
      <c r="I69" s="1" t="b">
        <f t="shared" si="13"/>
        <v>0</v>
      </c>
    </row>
    <row r="70" spans="1:9" x14ac:dyDescent="0.2">
      <c r="A70" s="1" t="s">
        <v>85</v>
      </c>
      <c r="B70" s="1">
        <v>2.9646444444444437</v>
      </c>
      <c r="C70" s="1">
        <v>0.39206386844983449</v>
      </c>
      <c r="D70" s="1">
        <f t="shared" si="8"/>
        <v>-2.0353555555555563</v>
      </c>
      <c r="E70" s="1">
        <f t="shared" si="9"/>
        <v>-1.6432916871057217</v>
      </c>
      <c r="F70" s="1">
        <f t="shared" si="10"/>
        <v>-2.4274194240053908</v>
      </c>
      <c r="G70" s="2" t="b">
        <f t="shared" si="11"/>
        <v>0</v>
      </c>
      <c r="H70" s="1" t="b">
        <f t="shared" si="12"/>
        <v>0</v>
      </c>
      <c r="I70" s="1" t="b">
        <f t="shared" si="13"/>
        <v>0</v>
      </c>
    </row>
    <row r="71" spans="1:9" x14ac:dyDescent="0.2">
      <c r="A71" s="1" t="s">
        <v>86</v>
      </c>
      <c r="B71" s="1">
        <v>4.9810222222222214</v>
      </c>
      <c r="C71" s="1">
        <v>0.12111765123256373</v>
      </c>
      <c r="D71" s="1">
        <f t="shared" si="8"/>
        <v>-1.8977777777778648E-2</v>
      </c>
      <c r="E71" s="1">
        <f t="shared" si="9"/>
        <v>0.10213987345478508</v>
      </c>
      <c r="F71" s="1">
        <f t="shared" si="10"/>
        <v>-0.14009542901034239</v>
      </c>
      <c r="G71" s="2" t="b">
        <f t="shared" si="11"/>
        <v>1</v>
      </c>
      <c r="H71" s="1" t="b">
        <f t="shared" si="12"/>
        <v>0</v>
      </c>
      <c r="I71" s="1" t="b">
        <f t="shared" si="13"/>
        <v>1</v>
      </c>
    </row>
    <row r="72" spans="1:9" x14ac:dyDescent="0.2">
      <c r="A72" s="1" t="s">
        <v>87</v>
      </c>
      <c r="B72" s="1">
        <v>3.5219111111111112</v>
      </c>
      <c r="C72" s="1">
        <v>0.36261842058531368</v>
      </c>
      <c r="D72" s="1">
        <f t="shared" si="8"/>
        <v>-1.4780888888888888</v>
      </c>
      <c r="E72" s="1">
        <f t="shared" si="9"/>
        <v>-1.1154704683035752</v>
      </c>
      <c r="F72" s="1">
        <f t="shared" si="10"/>
        <v>-1.8407073094742024</v>
      </c>
      <c r="G72" s="2" t="b">
        <f t="shared" si="11"/>
        <v>0</v>
      </c>
      <c r="H72" s="1" t="b">
        <f t="shared" si="12"/>
        <v>0</v>
      </c>
      <c r="I72" s="1" t="b">
        <f t="shared" si="13"/>
        <v>0</v>
      </c>
    </row>
    <row r="73" spans="1:9" x14ac:dyDescent="0.2">
      <c r="A73" s="1" t="s">
        <v>88</v>
      </c>
      <c r="B73" s="1">
        <v>4.288044444444445</v>
      </c>
      <c r="C73" s="1">
        <v>0.32888198797070056</v>
      </c>
      <c r="D73" s="1">
        <f t="shared" si="8"/>
        <v>-0.71195555555555501</v>
      </c>
      <c r="E73" s="1">
        <f t="shared" si="9"/>
        <v>-0.38307356758485445</v>
      </c>
      <c r="F73" s="1">
        <f t="shared" si="10"/>
        <v>-1.0408375435262556</v>
      </c>
      <c r="G73" s="2" t="b">
        <f t="shared" si="11"/>
        <v>0</v>
      </c>
      <c r="H73" s="1" t="b">
        <f t="shared" si="12"/>
        <v>0</v>
      </c>
      <c r="I73" s="1" t="b">
        <f t="shared" si="13"/>
        <v>0</v>
      </c>
    </row>
    <row r="74" spans="1:9" x14ac:dyDescent="0.2">
      <c r="A74" s="1" t="s">
        <v>89</v>
      </c>
      <c r="B74" s="1">
        <v>4.9855999999999998</v>
      </c>
      <c r="C74" s="1">
        <v>0.29032270164888052</v>
      </c>
      <c r="D74" s="1">
        <f t="shared" si="8"/>
        <v>-1.440000000000019E-2</v>
      </c>
      <c r="E74" s="1">
        <f t="shared" si="9"/>
        <v>0.27592270164888033</v>
      </c>
      <c r="F74" s="1">
        <f t="shared" si="10"/>
        <v>-0.30472270164888071</v>
      </c>
      <c r="G74" s="2" t="b">
        <f t="shared" si="11"/>
        <v>1</v>
      </c>
      <c r="H74" s="1" t="b">
        <f t="shared" si="12"/>
        <v>0</v>
      </c>
      <c r="I74" s="1" t="b">
        <f t="shared" si="13"/>
        <v>1</v>
      </c>
    </row>
    <row r="75" spans="1:9" x14ac:dyDescent="0.2">
      <c r="A75" s="1" t="s">
        <v>90</v>
      </c>
      <c r="B75" s="1">
        <v>3.0415555555555556</v>
      </c>
      <c r="C75" s="1">
        <v>0.322788181634866</v>
      </c>
      <c r="D75" s="1">
        <f t="shared" si="8"/>
        <v>-1.9584444444444444</v>
      </c>
      <c r="E75" s="1">
        <f t="shared" si="9"/>
        <v>-1.6356562628095785</v>
      </c>
      <c r="F75" s="1">
        <f t="shared" si="10"/>
        <v>-2.2812326260793103</v>
      </c>
      <c r="G75" s="2" t="b">
        <f t="shared" si="11"/>
        <v>0</v>
      </c>
      <c r="H75" s="1" t="b">
        <f t="shared" si="12"/>
        <v>0</v>
      </c>
      <c r="I75" s="1" t="b">
        <f t="shared" si="13"/>
        <v>0</v>
      </c>
    </row>
    <row r="76" spans="1:9" x14ac:dyDescent="0.2">
      <c r="A76" s="1" t="s">
        <v>91</v>
      </c>
      <c r="B76" s="1">
        <v>3.9174222222222226</v>
      </c>
      <c r="C76" s="1">
        <v>0.37031529582855433</v>
      </c>
      <c r="D76" s="1">
        <f t="shared" si="8"/>
        <v>-1.0825777777777774</v>
      </c>
      <c r="E76" s="1">
        <f t="shared" si="9"/>
        <v>-0.71226248194922315</v>
      </c>
      <c r="F76" s="1">
        <f t="shared" si="10"/>
        <v>-1.4528930736063317</v>
      </c>
      <c r="G76" s="2" t="b">
        <f t="shared" si="11"/>
        <v>0</v>
      </c>
      <c r="H76" s="1" t="b">
        <f t="shared" si="12"/>
        <v>0</v>
      </c>
      <c r="I76" s="1" t="b">
        <f t="shared" si="13"/>
        <v>0</v>
      </c>
    </row>
    <row r="77" spans="1:9" x14ac:dyDescent="0.2">
      <c r="A77" s="1" t="s">
        <v>92</v>
      </c>
      <c r="B77" s="1">
        <v>4.9394666666666662</v>
      </c>
      <c r="C77" s="1">
        <v>0.17757768260179047</v>
      </c>
      <c r="D77" s="1">
        <f t="shared" si="8"/>
        <v>-6.0533333333333772E-2</v>
      </c>
      <c r="E77" s="1">
        <f t="shared" si="9"/>
        <v>0.11704434926845669</v>
      </c>
      <c r="F77" s="1">
        <f t="shared" si="10"/>
        <v>-0.23811101593512424</v>
      </c>
      <c r="G77" s="2" t="b">
        <f t="shared" si="11"/>
        <v>1</v>
      </c>
      <c r="H77" s="1" t="b">
        <f t="shared" si="12"/>
        <v>0</v>
      </c>
      <c r="I77" s="1" t="b">
        <f t="shared" si="13"/>
        <v>1</v>
      </c>
    </row>
    <row r="78" spans="1:9" x14ac:dyDescent="0.2">
      <c r="A78" s="1" t="s">
        <v>93</v>
      </c>
      <c r="B78" s="1">
        <v>3.2345555555555556</v>
      </c>
      <c r="C78" s="1">
        <v>0.38877411050514166</v>
      </c>
      <c r="D78" s="1">
        <f t="shared" si="8"/>
        <v>-1.7654444444444444</v>
      </c>
      <c r="E78" s="1">
        <f t="shared" si="9"/>
        <v>-1.3766703339393027</v>
      </c>
      <c r="F78" s="1">
        <f t="shared" si="10"/>
        <v>-2.154218554949586</v>
      </c>
      <c r="G78" s="2" t="b">
        <f t="shared" si="11"/>
        <v>0</v>
      </c>
      <c r="H78" s="1" t="b">
        <f t="shared" si="12"/>
        <v>0</v>
      </c>
      <c r="I78" s="1" t="b">
        <f t="shared" si="13"/>
        <v>0</v>
      </c>
    </row>
    <row r="79" spans="1:9" x14ac:dyDescent="0.2">
      <c r="A79" s="1" t="s">
        <v>94</v>
      </c>
      <c r="B79" s="1">
        <v>3.6752444444444445</v>
      </c>
      <c r="C79" s="1">
        <v>0.2916977767003518</v>
      </c>
      <c r="D79" s="1">
        <f t="shared" si="8"/>
        <v>-1.3247555555555555</v>
      </c>
      <c r="E79" s="1">
        <f t="shared" si="9"/>
        <v>-1.0330577788552038</v>
      </c>
      <c r="F79" s="1">
        <f t="shared" si="10"/>
        <v>-1.6164533322559071</v>
      </c>
      <c r="G79" s="2" t="b">
        <f t="shared" si="11"/>
        <v>0</v>
      </c>
      <c r="H79" s="1" t="b">
        <f t="shared" si="12"/>
        <v>0</v>
      </c>
      <c r="I79" s="1" t="b">
        <f t="shared" si="13"/>
        <v>0</v>
      </c>
    </row>
    <row r="80" spans="1:9" x14ac:dyDescent="0.2">
      <c r="A80" s="1" t="s">
        <v>95</v>
      </c>
      <c r="B80" s="1">
        <v>5.0539777777777779</v>
      </c>
      <c r="C80" s="1">
        <v>0.14857032847300497</v>
      </c>
      <c r="D80" s="1">
        <f t="shared" si="8"/>
        <v>5.3977777777777902E-2</v>
      </c>
      <c r="E80" s="1">
        <f t="shared" si="9"/>
        <v>0.20254810625078287</v>
      </c>
      <c r="F80" s="1">
        <f t="shared" si="10"/>
        <v>-9.4592550695227068E-2</v>
      </c>
      <c r="G80" s="2" t="b">
        <f t="shared" si="11"/>
        <v>1</v>
      </c>
      <c r="H80" s="1" t="b">
        <f t="shared" si="12"/>
        <v>0</v>
      </c>
      <c r="I80" s="1" t="b">
        <f t="shared" si="13"/>
        <v>1</v>
      </c>
    </row>
    <row r="81" spans="1:9" x14ac:dyDescent="0.2">
      <c r="A81" s="1" t="s">
        <v>96</v>
      </c>
      <c r="B81" s="1">
        <v>4.9769333333333332</v>
      </c>
      <c r="C81" s="1">
        <v>0.37399900700437844</v>
      </c>
      <c r="D81" s="1">
        <f t="shared" si="8"/>
        <v>-2.3066666666666791E-2</v>
      </c>
      <c r="E81" s="1">
        <f t="shared" si="9"/>
        <v>0.35093234033771165</v>
      </c>
      <c r="F81" s="1">
        <f t="shared" si="10"/>
        <v>-0.39706567367104523</v>
      </c>
      <c r="G81" s="2" t="b">
        <f t="shared" si="11"/>
        <v>1</v>
      </c>
      <c r="H81" s="1" t="b">
        <f t="shared" si="12"/>
        <v>0</v>
      </c>
      <c r="I81" s="1" t="b">
        <f t="shared" si="13"/>
        <v>1</v>
      </c>
    </row>
    <row r="82" spans="1:9" x14ac:dyDescent="0.2">
      <c r="A82" s="1" t="s">
        <v>97</v>
      </c>
      <c r="B82" s="1">
        <v>4.8559777777777784</v>
      </c>
      <c r="C82" s="1">
        <v>0.16652994941314284</v>
      </c>
      <c r="D82" s="1">
        <f t="shared" si="8"/>
        <v>-0.14402222222222161</v>
      </c>
      <c r="E82" s="1">
        <f t="shared" si="9"/>
        <v>2.2507727190921228E-2</v>
      </c>
      <c r="F82" s="1">
        <f t="shared" si="10"/>
        <v>-0.31055217163536442</v>
      </c>
      <c r="G82" s="2" t="b">
        <f t="shared" si="11"/>
        <v>1</v>
      </c>
      <c r="H82" s="1" t="b">
        <f t="shared" si="12"/>
        <v>0</v>
      </c>
      <c r="I82" s="1" t="b">
        <f t="shared" si="13"/>
        <v>1</v>
      </c>
    </row>
    <row r="83" spans="1:9" x14ac:dyDescent="0.2">
      <c r="A83" s="1" t="s">
        <v>98</v>
      </c>
      <c r="B83" s="1">
        <v>4.8728888888888875</v>
      </c>
      <c r="C83" s="1">
        <v>0.20954456755750051</v>
      </c>
      <c r="D83" s="1">
        <f t="shared" si="8"/>
        <v>-0.12711111111111251</v>
      </c>
      <c r="E83" s="1">
        <f t="shared" si="9"/>
        <v>8.2433456446387998E-2</v>
      </c>
      <c r="F83" s="1">
        <f t="shared" si="10"/>
        <v>-0.33665567866861301</v>
      </c>
      <c r="G83" s="2" t="b">
        <f t="shared" si="11"/>
        <v>1</v>
      </c>
      <c r="H83" s="1" t="b">
        <f t="shared" si="12"/>
        <v>0</v>
      </c>
      <c r="I83" s="1" t="b">
        <f t="shared" si="13"/>
        <v>1</v>
      </c>
    </row>
    <row r="84" spans="1:9" x14ac:dyDescent="0.2">
      <c r="A84" s="1" t="s">
        <v>99</v>
      </c>
      <c r="B84" s="1">
        <v>5.1263555555555547</v>
      </c>
      <c r="C84" s="1">
        <v>0.16389290576169646</v>
      </c>
      <c r="D84" s="1">
        <f t="shared" si="8"/>
        <v>0.12635555555555467</v>
      </c>
      <c r="E84" s="1">
        <f t="shared" si="9"/>
        <v>0.29024846131725113</v>
      </c>
      <c r="F84" s="1">
        <f t="shared" si="10"/>
        <v>-3.7537350206141795E-2</v>
      </c>
      <c r="G84" s="2" t="b">
        <f t="shared" si="11"/>
        <v>1</v>
      </c>
      <c r="H84" s="1" t="b">
        <f t="shared" si="12"/>
        <v>0</v>
      </c>
      <c r="I84" s="1" t="b">
        <f t="shared" si="13"/>
        <v>1</v>
      </c>
    </row>
    <row r="85" spans="1:9" x14ac:dyDescent="0.2">
      <c r="A85" s="1" t="s">
        <v>100</v>
      </c>
      <c r="B85" s="1">
        <v>5.1144444444444446</v>
      </c>
      <c r="C85" s="1">
        <v>0.19535720237689908</v>
      </c>
      <c r="D85" s="1">
        <f t="shared" si="8"/>
        <v>0.11444444444444457</v>
      </c>
      <c r="E85" s="1">
        <f t="shared" si="9"/>
        <v>0.30980164682134365</v>
      </c>
      <c r="F85" s="1">
        <f t="shared" si="10"/>
        <v>-8.0912757932454504E-2</v>
      </c>
      <c r="G85" s="2" t="b">
        <f t="shared" si="11"/>
        <v>1</v>
      </c>
      <c r="H85" s="1" t="b">
        <f t="shared" si="12"/>
        <v>0</v>
      </c>
      <c r="I85" s="1" t="b">
        <f t="shared" si="13"/>
        <v>1</v>
      </c>
    </row>
    <row r="86" spans="1:9" x14ac:dyDescent="0.2">
      <c r="A86" s="1" t="s">
        <v>101</v>
      </c>
      <c r="B86" s="1">
        <v>4.8889555555555564</v>
      </c>
      <c r="C86" s="1">
        <v>0.22007174057947329</v>
      </c>
      <c r="D86" s="1">
        <f t="shared" si="8"/>
        <v>-0.11104444444444361</v>
      </c>
      <c r="E86" s="1">
        <f t="shared" si="9"/>
        <v>0.10902729613502968</v>
      </c>
      <c r="F86" s="1">
        <f t="shared" si="10"/>
        <v>-0.33111618502391693</v>
      </c>
      <c r="G86" s="2" t="b">
        <f t="shared" si="11"/>
        <v>1</v>
      </c>
      <c r="H86" s="1" t="b">
        <f t="shared" si="12"/>
        <v>0</v>
      </c>
      <c r="I86" s="1" t="b">
        <f t="shared" si="13"/>
        <v>1</v>
      </c>
    </row>
    <row r="87" spans="1:9" x14ac:dyDescent="0.2">
      <c r="A87" s="1" t="s">
        <v>102</v>
      </c>
      <c r="B87" s="1">
        <v>4.8456666666666672</v>
      </c>
      <c r="C87" s="1">
        <v>9.083107085910512E-2</v>
      </c>
      <c r="D87" s="1">
        <f t="shared" si="8"/>
        <v>-0.15433333333333277</v>
      </c>
      <c r="E87" s="1">
        <f t="shared" si="9"/>
        <v>-6.3502262474227647E-2</v>
      </c>
      <c r="F87" s="1">
        <f t="shared" si="10"/>
        <v>-0.2451644041924379</v>
      </c>
      <c r="G87" s="2" t="b">
        <f t="shared" si="11"/>
        <v>1</v>
      </c>
      <c r="H87" s="1" t="b">
        <f t="shared" si="12"/>
        <v>0</v>
      </c>
      <c r="I87" s="1" t="b">
        <f t="shared" si="13"/>
        <v>1</v>
      </c>
    </row>
    <row r="88" spans="1:9" x14ac:dyDescent="0.2">
      <c r="A88" s="1" t="s">
        <v>103</v>
      </c>
      <c r="B88" s="1">
        <v>5.0872000000000002</v>
      </c>
      <c r="C88" s="1">
        <v>0.16724876954557777</v>
      </c>
      <c r="D88" s="1">
        <f t="shared" si="8"/>
        <v>8.7200000000000166E-2</v>
      </c>
      <c r="E88" s="1">
        <f t="shared" si="9"/>
        <v>0.25444876954557794</v>
      </c>
      <c r="F88" s="1">
        <f t="shared" si="10"/>
        <v>-8.0048769545577603E-2</v>
      </c>
      <c r="G88" s="2" t="b">
        <f t="shared" si="11"/>
        <v>1</v>
      </c>
      <c r="H88" s="1" t="b">
        <f t="shared" si="12"/>
        <v>0</v>
      </c>
      <c r="I88" s="1" t="b">
        <f t="shared" si="13"/>
        <v>1</v>
      </c>
    </row>
    <row r="89" spans="1:9" x14ac:dyDescent="0.2">
      <c r="A89" s="1" t="s">
        <v>104</v>
      </c>
      <c r="B89" s="1">
        <v>4.9473111111111105</v>
      </c>
      <c r="C89" s="1">
        <v>0.14383645740082032</v>
      </c>
      <c r="D89" s="1">
        <f t="shared" si="8"/>
        <v>-5.2688888888889451E-2</v>
      </c>
      <c r="E89" s="1">
        <f t="shared" si="9"/>
        <v>9.1147568511930871E-2</v>
      </c>
      <c r="F89" s="1">
        <f t="shared" si="10"/>
        <v>-0.19652534628970977</v>
      </c>
      <c r="G89" s="2" t="b">
        <f t="shared" si="11"/>
        <v>1</v>
      </c>
      <c r="H89" s="1" t="b">
        <f t="shared" si="12"/>
        <v>0</v>
      </c>
      <c r="I89" s="1" t="b">
        <f t="shared" si="13"/>
        <v>1</v>
      </c>
    </row>
    <row r="90" spans="1:9" x14ac:dyDescent="0.2">
      <c r="A90" s="1" t="s">
        <v>105</v>
      </c>
      <c r="B90" s="1">
        <v>4.981866666666666</v>
      </c>
      <c r="C90" s="1">
        <v>0.20722835774149079</v>
      </c>
      <c r="D90" s="1">
        <f t="shared" si="8"/>
        <v>-1.8133333333334001E-2</v>
      </c>
      <c r="E90" s="1">
        <f t="shared" si="9"/>
        <v>0.18909502440815679</v>
      </c>
      <c r="F90" s="1">
        <f t="shared" si="10"/>
        <v>-0.22536169107482479</v>
      </c>
      <c r="G90" s="2" t="b">
        <f t="shared" si="11"/>
        <v>1</v>
      </c>
      <c r="H90" s="1" t="b">
        <f t="shared" si="12"/>
        <v>0</v>
      </c>
      <c r="I90" s="1" t="b">
        <f t="shared" si="13"/>
        <v>1</v>
      </c>
    </row>
    <row r="91" spans="1:9" x14ac:dyDescent="0.2">
      <c r="A91" s="1" t="s">
        <v>106</v>
      </c>
      <c r="B91" s="1">
        <v>5.087244444444444</v>
      </c>
      <c r="C91" s="1">
        <v>0.16520403466929115</v>
      </c>
      <c r="D91" s="1">
        <f t="shared" si="8"/>
        <v>8.7244444444444014E-2</v>
      </c>
      <c r="E91" s="1">
        <f t="shared" si="9"/>
        <v>0.25244847911373514</v>
      </c>
      <c r="F91" s="1">
        <f t="shared" si="10"/>
        <v>-7.7959590224847136E-2</v>
      </c>
      <c r="G91" s="2" t="b">
        <f t="shared" si="11"/>
        <v>1</v>
      </c>
      <c r="H91" s="1" t="b">
        <f t="shared" si="12"/>
        <v>0</v>
      </c>
      <c r="I91" s="1" t="b">
        <f t="shared" si="13"/>
        <v>1</v>
      </c>
    </row>
    <row r="92" spans="1:9" x14ac:dyDescent="0.2">
      <c r="A92" s="1" t="s">
        <v>107</v>
      </c>
      <c r="B92" s="1">
        <v>5.0037111111111106</v>
      </c>
      <c r="C92" s="1">
        <v>0.14490242391553848</v>
      </c>
      <c r="D92" s="1">
        <f t="shared" si="8"/>
        <v>3.7111111111105544E-3</v>
      </c>
      <c r="E92" s="1">
        <f t="shared" si="9"/>
        <v>0.14861353502664904</v>
      </c>
      <c r="F92" s="1">
        <f t="shared" si="10"/>
        <v>-0.14119131280442793</v>
      </c>
      <c r="G92" s="2" t="b">
        <f t="shared" si="11"/>
        <v>1</v>
      </c>
      <c r="H92" s="1" t="b">
        <f t="shared" si="12"/>
        <v>0</v>
      </c>
      <c r="I92" s="1" t="b">
        <f t="shared" si="13"/>
        <v>1</v>
      </c>
    </row>
    <row r="93" spans="1:9" x14ac:dyDescent="0.2">
      <c r="A93" s="1" t="s">
        <v>108</v>
      </c>
      <c r="B93" s="1">
        <v>5.066288888888888</v>
      </c>
      <c r="C93" s="1">
        <v>0.25120907543204452</v>
      </c>
      <c r="D93" s="1">
        <f t="shared" si="8"/>
        <v>6.6288888888887953E-2</v>
      </c>
      <c r="E93" s="1">
        <f t="shared" si="9"/>
        <v>0.31749796432093247</v>
      </c>
      <c r="F93" s="1">
        <f t="shared" si="10"/>
        <v>-0.18492018654315656</v>
      </c>
      <c r="G93" s="2" t="b">
        <f t="shared" si="11"/>
        <v>1</v>
      </c>
      <c r="H93" s="1" t="b">
        <f t="shared" si="12"/>
        <v>0</v>
      </c>
      <c r="I93" s="1" t="b">
        <f t="shared" si="13"/>
        <v>1</v>
      </c>
    </row>
    <row r="94" spans="1:9" x14ac:dyDescent="0.2">
      <c r="A94" s="1" t="s">
        <v>109</v>
      </c>
      <c r="B94" s="1">
        <v>2.7707999999999999</v>
      </c>
      <c r="C94" s="1">
        <v>0.41680205058545022</v>
      </c>
      <c r="D94" s="1">
        <f t="shared" si="8"/>
        <v>-2.2292000000000001</v>
      </c>
      <c r="E94" s="1">
        <f t="shared" si="9"/>
        <v>-1.8123979494145499</v>
      </c>
      <c r="F94" s="1">
        <f t="shared" si="10"/>
        <v>-2.6460020505854502</v>
      </c>
      <c r="G94" s="2" t="b">
        <f t="shared" si="11"/>
        <v>0</v>
      </c>
      <c r="H94" s="1" t="b">
        <f t="shared" si="12"/>
        <v>0</v>
      </c>
      <c r="I94" s="1" t="b">
        <f t="shared" si="13"/>
        <v>0</v>
      </c>
    </row>
    <row r="95" spans="1:9" x14ac:dyDescent="0.2">
      <c r="A95" s="1" t="s">
        <v>110</v>
      </c>
      <c r="B95" s="1">
        <v>4.2971555555555554</v>
      </c>
      <c r="C95" s="1">
        <v>0.42903289859778904</v>
      </c>
      <c r="D95" s="1">
        <f t="shared" si="8"/>
        <v>-0.7028444444444446</v>
      </c>
      <c r="E95" s="1">
        <f t="shared" si="9"/>
        <v>-0.27381154584665557</v>
      </c>
      <c r="F95" s="1">
        <f t="shared" si="10"/>
        <v>-1.1318773430422335</v>
      </c>
      <c r="G95" s="2" t="b">
        <f t="shared" si="11"/>
        <v>0</v>
      </c>
      <c r="H95" s="1" t="b">
        <f t="shared" si="12"/>
        <v>0</v>
      </c>
      <c r="I95" s="1" t="b">
        <f t="shared" si="13"/>
        <v>0</v>
      </c>
    </row>
    <row r="96" spans="1:9" x14ac:dyDescent="0.2">
      <c r="A96" s="1" t="s">
        <v>111</v>
      </c>
      <c r="B96" s="1">
        <v>4.9559999999999995</v>
      </c>
      <c r="C96" s="1">
        <v>0.23922125257981272</v>
      </c>
      <c r="D96" s="1">
        <f t="shared" si="8"/>
        <v>-4.4000000000000483E-2</v>
      </c>
      <c r="E96" s="1">
        <f t="shared" si="9"/>
        <v>0.19522125257981224</v>
      </c>
      <c r="F96" s="1">
        <f t="shared" si="10"/>
        <v>-0.28322125257981323</v>
      </c>
      <c r="G96" s="2" t="b">
        <f t="shared" si="11"/>
        <v>1</v>
      </c>
      <c r="H96" s="1" t="b">
        <f t="shared" si="12"/>
        <v>0</v>
      </c>
      <c r="I96" s="1" t="b">
        <f t="shared" si="13"/>
        <v>1</v>
      </c>
    </row>
    <row r="97" spans="1:9" x14ac:dyDescent="0.2">
      <c r="A97" s="1" t="s">
        <v>112</v>
      </c>
      <c r="B97" s="1">
        <v>3.2473111111111108</v>
      </c>
      <c r="C97" s="1">
        <v>0.4251589027491946</v>
      </c>
      <c r="D97" s="1">
        <f t="shared" si="8"/>
        <v>-1.7526888888888892</v>
      </c>
      <c r="E97" s="1">
        <f t="shared" si="9"/>
        <v>-1.3275299861396945</v>
      </c>
      <c r="F97" s="1">
        <f t="shared" si="10"/>
        <v>-2.1778477916380838</v>
      </c>
      <c r="G97" s="2" t="b">
        <f t="shared" si="11"/>
        <v>0</v>
      </c>
      <c r="H97" s="1" t="b">
        <f t="shared" si="12"/>
        <v>0</v>
      </c>
      <c r="I97" s="1" t="b">
        <f t="shared" si="13"/>
        <v>0</v>
      </c>
    </row>
    <row r="98" spans="1:9" x14ac:dyDescent="0.2">
      <c r="A98" s="1" t="s">
        <v>113</v>
      </c>
      <c r="B98" s="1">
        <v>4.3798666666666666</v>
      </c>
      <c r="C98" s="1">
        <v>0.38953777323353411</v>
      </c>
      <c r="D98" s="1">
        <f t="shared" si="8"/>
        <v>-0.62013333333333343</v>
      </c>
      <c r="E98" s="1">
        <f t="shared" si="9"/>
        <v>-0.23059556009979931</v>
      </c>
      <c r="F98" s="1">
        <f t="shared" si="10"/>
        <v>-1.0096711065668675</v>
      </c>
      <c r="G98" s="2" t="b">
        <f t="shared" si="11"/>
        <v>0</v>
      </c>
      <c r="H98" s="1" t="b">
        <f t="shared" si="12"/>
        <v>0</v>
      </c>
      <c r="I98" s="1" t="b">
        <f t="shared" si="13"/>
        <v>0</v>
      </c>
    </row>
    <row r="99" spans="1:9" x14ac:dyDescent="0.2">
      <c r="A99" s="1" t="s">
        <v>114</v>
      </c>
      <c r="B99" s="1">
        <v>5.003333333333333</v>
      </c>
      <c r="C99" s="1">
        <v>0.19732222185144821</v>
      </c>
      <c r="D99" s="1">
        <f t="shared" si="8"/>
        <v>3.3333333333329662E-3</v>
      </c>
      <c r="E99" s="1">
        <f t="shared" si="9"/>
        <v>0.20065555518478118</v>
      </c>
      <c r="F99" s="1">
        <f t="shared" si="10"/>
        <v>-0.19398888851811524</v>
      </c>
      <c r="G99" s="2" t="b">
        <f t="shared" si="11"/>
        <v>1</v>
      </c>
      <c r="H99" s="1" t="b">
        <f t="shared" si="12"/>
        <v>0</v>
      </c>
      <c r="I99" s="1" t="b">
        <f t="shared" si="13"/>
        <v>1</v>
      </c>
    </row>
    <row r="100" spans="1:9" x14ac:dyDescent="0.2">
      <c r="A100" s="1" t="s">
        <v>115</v>
      </c>
      <c r="B100" s="1">
        <v>3.0472666666666663</v>
      </c>
      <c r="C100" s="1">
        <v>0.41854713174088604</v>
      </c>
      <c r="D100" s="1">
        <f t="shared" si="8"/>
        <v>-1.9527333333333337</v>
      </c>
      <c r="E100" s="1">
        <f t="shared" si="9"/>
        <v>-1.5341862015924477</v>
      </c>
      <c r="F100" s="1">
        <f t="shared" si="10"/>
        <v>-2.3712804650742196</v>
      </c>
      <c r="G100" s="2" t="b">
        <f t="shared" si="11"/>
        <v>0</v>
      </c>
      <c r="H100" s="1" t="b">
        <f t="shared" si="12"/>
        <v>0</v>
      </c>
      <c r="I100" s="1" t="b">
        <f t="shared" si="13"/>
        <v>0</v>
      </c>
    </row>
    <row r="101" spans="1:9" x14ac:dyDescent="0.2">
      <c r="A101" s="1" t="s">
        <v>116</v>
      </c>
      <c r="B101" s="1">
        <v>3.6469555555555555</v>
      </c>
      <c r="C101" s="1">
        <v>0.40048972159001517</v>
      </c>
      <c r="D101" s="1">
        <f t="shared" si="8"/>
        <v>-1.3530444444444445</v>
      </c>
      <c r="E101" s="1">
        <f t="shared" si="9"/>
        <v>-0.95255472285442933</v>
      </c>
      <c r="F101" s="1">
        <f t="shared" si="10"/>
        <v>-1.7535341660344597</v>
      </c>
      <c r="G101" s="2" t="b">
        <f t="shared" si="11"/>
        <v>0</v>
      </c>
      <c r="H101" s="1" t="b">
        <f t="shared" si="12"/>
        <v>0</v>
      </c>
      <c r="I101" s="1" t="b">
        <f t="shared" si="13"/>
        <v>0</v>
      </c>
    </row>
    <row r="102" spans="1:9" x14ac:dyDescent="0.2">
      <c r="A102" s="1" t="s">
        <v>117</v>
      </c>
      <c r="B102" s="1">
        <v>5.5176888888888884</v>
      </c>
      <c r="C102" s="1">
        <v>0.35578377444752385</v>
      </c>
      <c r="D102" s="1">
        <f t="shared" si="8"/>
        <v>0.51768888888888842</v>
      </c>
      <c r="E102" s="1">
        <f t="shared" si="9"/>
        <v>0.87347266333641227</v>
      </c>
      <c r="F102" s="1">
        <f t="shared" si="10"/>
        <v>0.16190511444136457</v>
      </c>
      <c r="G102" s="2" t="b">
        <f t="shared" si="11"/>
        <v>0</v>
      </c>
      <c r="H102" s="1" t="b">
        <f t="shared" si="12"/>
        <v>1</v>
      </c>
      <c r="I102" s="1" t="b">
        <f t="shared" si="13"/>
        <v>1</v>
      </c>
    </row>
    <row r="103" spans="1:9" x14ac:dyDescent="0.2">
      <c r="A103" s="1" t="s">
        <v>118</v>
      </c>
      <c r="B103" s="1">
        <v>3.7362222222222221</v>
      </c>
      <c r="C103" s="1">
        <v>0.37551725305740363</v>
      </c>
      <c r="D103" s="1">
        <f t="shared" si="8"/>
        <v>-1.2637777777777779</v>
      </c>
      <c r="E103" s="1">
        <f t="shared" si="9"/>
        <v>-0.88826052472037431</v>
      </c>
      <c r="F103" s="1">
        <f t="shared" si="10"/>
        <v>-1.6392950308351815</v>
      </c>
      <c r="G103" s="2" t="b">
        <f t="shared" si="11"/>
        <v>0</v>
      </c>
      <c r="H103" s="1" t="b">
        <f t="shared" si="12"/>
        <v>0</v>
      </c>
      <c r="I103" s="1" t="b">
        <f t="shared" si="13"/>
        <v>0</v>
      </c>
    </row>
    <row r="104" spans="1:9" x14ac:dyDescent="0.2">
      <c r="A104" s="1" t="s">
        <v>119</v>
      </c>
      <c r="B104" s="1">
        <v>4.326311111111111</v>
      </c>
      <c r="C104" s="1">
        <v>0.5004277233582155</v>
      </c>
      <c r="D104" s="1">
        <f t="shared" si="8"/>
        <v>-0.673688888888889</v>
      </c>
      <c r="E104" s="1">
        <f t="shared" si="9"/>
        <v>-0.1732611655306735</v>
      </c>
      <c r="F104" s="1">
        <f t="shared" si="10"/>
        <v>-1.1741166122471045</v>
      </c>
      <c r="G104" s="2" t="b">
        <f t="shared" si="11"/>
        <v>0</v>
      </c>
      <c r="H104" s="1" t="b">
        <f t="shared" si="12"/>
        <v>0</v>
      </c>
      <c r="I104" s="1" t="b">
        <f t="shared" si="13"/>
        <v>0</v>
      </c>
    </row>
    <row r="105" spans="1:9" x14ac:dyDescent="0.2">
      <c r="A105" s="1" t="s">
        <v>120</v>
      </c>
      <c r="B105" s="1">
        <v>4.6098888888888894</v>
      </c>
      <c r="C105" s="1">
        <v>0.33918522524275474</v>
      </c>
      <c r="D105" s="1">
        <f t="shared" si="8"/>
        <v>-0.39011111111111063</v>
      </c>
      <c r="E105" s="1">
        <f t="shared" si="9"/>
        <v>-5.0925885868355891E-2</v>
      </c>
      <c r="F105" s="1">
        <f t="shared" si="10"/>
        <v>-0.72929633635386537</v>
      </c>
      <c r="G105" s="2" t="b">
        <f t="shared" si="11"/>
        <v>0</v>
      </c>
      <c r="H105" s="1" t="b">
        <f t="shared" si="12"/>
        <v>0</v>
      </c>
      <c r="I105" s="1" t="b">
        <f t="shared" si="13"/>
        <v>0</v>
      </c>
    </row>
    <row r="106" spans="1:9" x14ac:dyDescent="0.2">
      <c r="A106" s="1" t="s">
        <v>121</v>
      </c>
      <c r="B106" s="1">
        <v>3.6066222222222226</v>
      </c>
      <c r="C106" s="1">
        <v>0.38494514914183725</v>
      </c>
      <c r="D106" s="1">
        <f t="shared" si="8"/>
        <v>-1.3933777777777774</v>
      </c>
      <c r="E106" s="1">
        <f t="shared" si="9"/>
        <v>-1.0084326286359402</v>
      </c>
      <c r="F106" s="1">
        <f t="shared" si="10"/>
        <v>-1.7783229269196146</v>
      </c>
      <c r="G106" s="2" t="b">
        <f t="shared" si="11"/>
        <v>0</v>
      </c>
      <c r="H106" s="1" t="b">
        <f t="shared" si="12"/>
        <v>0</v>
      </c>
      <c r="I106" s="1" t="b">
        <f t="shared" si="13"/>
        <v>0</v>
      </c>
    </row>
    <row r="107" spans="1:9" x14ac:dyDescent="0.2">
      <c r="A107" s="1" t="s">
        <v>122</v>
      </c>
      <c r="B107" s="1">
        <v>5.1748444444444441</v>
      </c>
      <c r="C107" s="1">
        <v>0.19208845878251957</v>
      </c>
      <c r="D107" s="1">
        <f t="shared" si="8"/>
        <v>0.17484444444444414</v>
      </c>
      <c r="E107" s="1">
        <f t="shared" si="9"/>
        <v>0.3669329032269637</v>
      </c>
      <c r="F107" s="1">
        <f t="shared" si="10"/>
        <v>-1.7244014338075431E-2</v>
      </c>
      <c r="G107" s="2" t="b">
        <f t="shared" si="11"/>
        <v>1</v>
      </c>
      <c r="H107" s="1" t="b">
        <f t="shared" si="12"/>
        <v>0</v>
      </c>
      <c r="I107" s="1" t="b">
        <f t="shared" si="13"/>
        <v>1</v>
      </c>
    </row>
    <row r="108" spans="1:9" x14ac:dyDescent="0.2">
      <c r="A108" s="1" t="s">
        <v>123</v>
      </c>
      <c r="B108" s="1">
        <v>3.3452666666666668</v>
      </c>
      <c r="C108" s="1">
        <v>0.29686498593025895</v>
      </c>
      <c r="D108" s="1">
        <f t="shared" si="8"/>
        <v>-1.6547333333333332</v>
      </c>
      <c r="E108" s="1">
        <f t="shared" si="9"/>
        <v>-1.3578683474030742</v>
      </c>
      <c r="F108" s="1">
        <f t="shared" si="10"/>
        <v>-1.9515983192635922</v>
      </c>
      <c r="G108" s="2" t="b">
        <f t="shared" si="11"/>
        <v>0</v>
      </c>
      <c r="H108" s="1" t="b">
        <f t="shared" si="12"/>
        <v>0</v>
      </c>
      <c r="I108" s="1" t="b">
        <f t="shared" si="13"/>
        <v>0</v>
      </c>
    </row>
    <row r="109" spans="1:9" x14ac:dyDescent="0.2">
      <c r="A109" s="1" t="s">
        <v>124</v>
      </c>
      <c r="B109" s="1">
        <v>4.5962888888888891</v>
      </c>
      <c r="C109" s="1">
        <v>0.52119206467047918</v>
      </c>
      <c r="D109" s="1">
        <f t="shared" si="8"/>
        <v>-0.40371111111111091</v>
      </c>
      <c r="E109" s="1">
        <f t="shared" si="9"/>
        <v>0.11748095355936827</v>
      </c>
      <c r="F109" s="1">
        <f t="shared" si="10"/>
        <v>-0.92490317578159009</v>
      </c>
      <c r="G109" s="2" t="b">
        <f t="shared" si="11"/>
        <v>0</v>
      </c>
      <c r="H109" s="1" t="b">
        <f t="shared" si="12"/>
        <v>0</v>
      </c>
      <c r="I109" s="1" t="b">
        <f t="shared" si="13"/>
        <v>0</v>
      </c>
    </row>
    <row r="110" spans="1:9" x14ac:dyDescent="0.2">
      <c r="A110" s="1" t="s">
        <v>125</v>
      </c>
      <c r="B110" s="1">
        <v>4.9098888888888883</v>
      </c>
      <c r="C110" s="1">
        <v>0.26350667399710348</v>
      </c>
      <c r="D110" s="1">
        <f t="shared" si="8"/>
        <v>-9.0111111111111697E-2</v>
      </c>
      <c r="E110" s="1">
        <f t="shared" si="9"/>
        <v>0.17339556288599178</v>
      </c>
      <c r="F110" s="1">
        <f t="shared" si="10"/>
        <v>-0.35361778510821518</v>
      </c>
      <c r="G110" s="2" t="b">
        <f t="shared" si="11"/>
        <v>1</v>
      </c>
      <c r="H110" s="1" t="b">
        <f t="shared" si="12"/>
        <v>0</v>
      </c>
      <c r="I110" s="1" t="b">
        <f t="shared" si="13"/>
        <v>1</v>
      </c>
    </row>
    <row r="111" spans="1:9" x14ac:dyDescent="0.2">
      <c r="A111" s="1" t="s">
        <v>126</v>
      </c>
      <c r="B111" s="1">
        <v>4.0198000000000009</v>
      </c>
      <c r="C111" s="1">
        <v>0.3297772939806552</v>
      </c>
      <c r="D111" s="1">
        <f t="shared" si="8"/>
        <v>-0.98019999999999907</v>
      </c>
      <c r="E111" s="1">
        <f t="shared" si="9"/>
        <v>-0.65042270601934393</v>
      </c>
      <c r="F111" s="1">
        <f t="shared" si="10"/>
        <v>-1.3099772939806542</v>
      </c>
      <c r="G111" s="2" t="b">
        <f t="shared" si="11"/>
        <v>0</v>
      </c>
      <c r="H111" s="1" t="b">
        <f t="shared" si="12"/>
        <v>0</v>
      </c>
      <c r="I111" s="1" t="b">
        <f t="shared" si="13"/>
        <v>0</v>
      </c>
    </row>
    <row r="112" spans="1:9" x14ac:dyDescent="0.2">
      <c r="A112" s="1" t="s">
        <v>127</v>
      </c>
      <c r="B112" s="1">
        <v>4.6423777777777779</v>
      </c>
      <c r="C112" s="1">
        <v>0.21911591083167886</v>
      </c>
      <c r="D112" s="1">
        <f t="shared" si="8"/>
        <v>-0.35762222222222206</v>
      </c>
      <c r="E112" s="1">
        <f t="shared" si="9"/>
        <v>-0.1385063113905432</v>
      </c>
      <c r="F112" s="1">
        <f t="shared" si="10"/>
        <v>-0.57673813305390098</v>
      </c>
      <c r="G112" s="2" t="b">
        <f t="shared" si="11"/>
        <v>0</v>
      </c>
      <c r="H112" s="1" t="b">
        <f t="shared" si="12"/>
        <v>0</v>
      </c>
      <c r="I112" s="1" t="b">
        <f t="shared" si="13"/>
        <v>0</v>
      </c>
    </row>
    <row r="113" spans="1:9" x14ac:dyDescent="0.2">
      <c r="A113" s="1" t="s">
        <v>128</v>
      </c>
      <c r="B113" s="1">
        <v>4.3045111111111094</v>
      </c>
      <c r="C113" s="1">
        <v>0.2557598027991605</v>
      </c>
      <c r="D113" s="1">
        <f t="shared" si="8"/>
        <v>-0.6954888888888906</v>
      </c>
      <c r="E113" s="1">
        <f t="shared" si="9"/>
        <v>-0.4397290860897301</v>
      </c>
      <c r="F113" s="1">
        <f t="shared" si="10"/>
        <v>-0.95124869168805115</v>
      </c>
      <c r="G113" s="2" t="b">
        <f t="shared" si="11"/>
        <v>0</v>
      </c>
      <c r="H113" s="1" t="b">
        <f t="shared" si="12"/>
        <v>0</v>
      </c>
      <c r="I113" s="1" t="b">
        <f t="shared" si="13"/>
        <v>0</v>
      </c>
    </row>
    <row r="114" spans="1:9" x14ac:dyDescent="0.2">
      <c r="A114" s="1" t="s">
        <v>129</v>
      </c>
      <c r="B114" s="1">
        <v>4.8637999999999995</v>
      </c>
      <c r="C114" s="1">
        <v>0.23552916282704733</v>
      </c>
      <c r="D114" s="1">
        <f t="shared" si="8"/>
        <v>-0.13620000000000054</v>
      </c>
      <c r="E114" s="1">
        <f t="shared" si="9"/>
        <v>9.9329162827046791E-2</v>
      </c>
      <c r="F114" s="1">
        <f t="shared" si="10"/>
        <v>-0.37172916282704788</v>
      </c>
      <c r="G114" s="2" t="b">
        <f t="shared" si="11"/>
        <v>1</v>
      </c>
      <c r="H114" s="1" t="b">
        <f t="shared" si="12"/>
        <v>0</v>
      </c>
      <c r="I114" s="1" t="b">
        <f t="shared" si="13"/>
        <v>1</v>
      </c>
    </row>
    <row r="115" spans="1:9" x14ac:dyDescent="0.2">
      <c r="A115" s="1" t="s">
        <v>130</v>
      </c>
      <c r="B115" s="1">
        <v>4.4732666666666674</v>
      </c>
      <c r="C115" s="1">
        <v>0.33450731669667372</v>
      </c>
      <c r="D115" s="1">
        <f t="shared" si="8"/>
        <v>-0.52673333333333261</v>
      </c>
      <c r="E115" s="1">
        <f t="shared" si="9"/>
        <v>-0.19222601663665889</v>
      </c>
      <c r="F115" s="1">
        <f t="shared" si="10"/>
        <v>-0.86124065003000627</v>
      </c>
      <c r="G115" s="2" t="b">
        <f t="shared" si="11"/>
        <v>0</v>
      </c>
      <c r="H115" s="1" t="b">
        <f t="shared" si="12"/>
        <v>0</v>
      </c>
      <c r="I115" s="1" t="b">
        <f t="shared" si="13"/>
        <v>0</v>
      </c>
    </row>
    <row r="116" spans="1:9" x14ac:dyDescent="0.2">
      <c r="A116" s="1" t="s">
        <v>131</v>
      </c>
      <c r="B116" s="1">
        <v>4.3938444444444444</v>
      </c>
      <c r="C116" s="1">
        <v>0.27884470628734492</v>
      </c>
      <c r="D116" s="1">
        <f t="shared" si="8"/>
        <v>-0.60615555555555556</v>
      </c>
      <c r="E116" s="1">
        <f t="shared" si="9"/>
        <v>-0.32731084926821064</v>
      </c>
      <c r="F116" s="1">
        <f t="shared" si="10"/>
        <v>-0.88500026184290048</v>
      </c>
      <c r="G116" s="2" t="b">
        <f t="shared" si="11"/>
        <v>0</v>
      </c>
      <c r="H116" s="1" t="b">
        <f t="shared" si="12"/>
        <v>0</v>
      </c>
      <c r="I116" s="1" t="b">
        <f t="shared" si="13"/>
        <v>0</v>
      </c>
    </row>
    <row r="117" spans="1:9" x14ac:dyDescent="0.2">
      <c r="A117" s="1" t="s">
        <v>132</v>
      </c>
      <c r="B117" s="1">
        <v>2.5789777777777774</v>
      </c>
      <c r="C117" s="1">
        <v>0.33994157477758363</v>
      </c>
      <c r="D117" s="1">
        <f t="shared" si="8"/>
        <v>-2.4210222222222226</v>
      </c>
      <c r="E117" s="1">
        <f t="shared" si="9"/>
        <v>-2.0810806474446388</v>
      </c>
      <c r="F117" s="1">
        <f t="shared" si="10"/>
        <v>-2.7609637969998064</v>
      </c>
      <c r="G117" s="2" t="b">
        <f t="shared" si="11"/>
        <v>0</v>
      </c>
      <c r="H117" s="1" t="b">
        <f t="shared" si="12"/>
        <v>0</v>
      </c>
      <c r="I117" s="1" t="b">
        <f t="shared" si="13"/>
        <v>0</v>
      </c>
    </row>
    <row r="118" spans="1:9" x14ac:dyDescent="0.2">
      <c r="A118" s="1" t="s">
        <v>133</v>
      </c>
      <c r="B118" s="1">
        <v>3.877844444444444</v>
      </c>
      <c r="C118" s="1">
        <v>0.38246645864910378</v>
      </c>
      <c r="D118" s="1">
        <f t="shared" si="8"/>
        <v>-1.122155555555556</v>
      </c>
      <c r="E118" s="1">
        <f t="shared" si="9"/>
        <v>-0.73968909690645224</v>
      </c>
      <c r="F118" s="1">
        <f t="shared" si="10"/>
        <v>-1.5046220142046598</v>
      </c>
      <c r="G118" s="2" t="b">
        <f t="shared" si="11"/>
        <v>0</v>
      </c>
      <c r="H118" s="1" t="b">
        <f t="shared" si="12"/>
        <v>0</v>
      </c>
      <c r="I118" s="1" t="b">
        <f t="shared" si="13"/>
        <v>0</v>
      </c>
    </row>
    <row r="119" spans="1:9" x14ac:dyDescent="0.2">
      <c r="A119" s="1" t="s">
        <v>134</v>
      </c>
      <c r="B119" s="1">
        <v>4.8847777777777779</v>
      </c>
      <c r="C119" s="1">
        <v>0.3008818106013304</v>
      </c>
      <c r="D119" s="1">
        <f t="shared" si="8"/>
        <v>-0.11522222222222211</v>
      </c>
      <c r="E119" s="1">
        <f t="shared" si="9"/>
        <v>0.18565958837910829</v>
      </c>
      <c r="F119" s="1">
        <f t="shared" si="10"/>
        <v>-0.41610403282355252</v>
      </c>
      <c r="G119" s="2" t="b">
        <f t="shared" si="11"/>
        <v>1</v>
      </c>
      <c r="H119" s="1" t="b">
        <f t="shared" si="12"/>
        <v>0</v>
      </c>
      <c r="I119" s="1" t="b">
        <f t="shared" si="13"/>
        <v>1</v>
      </c>
    </row>
    <row r="120" spans="1:9" x14ac:dyDescent="0.2">
      <c r="A120" s="1" t="s">
        <v>135</v>
      </c>
      <c r="B120" s="1">
        <v>2.8127111111111103</v>
      </c>
      <c r="C120" s="1">
        <v>0.33011938494500376</v>
      </c>
      <c r="D120" s="1">
        <f t="shared" si="8"/>
        <v>-2.1872888888888897</v>
      </c>
      <c r="E120" s="1">
        <f t="shared" si="9"/>
        <v>-1.857169503943886</v>
      </c>
      <c r="F120" s="1">
        <f t="shared" si="10"/>
        <v>-2.5174082738338934</v>
      </c>
      <c r="G120" s="2" t="b">
        <f t="shared" si="11"/>
        <v>0</v>
      </c>
      <c r="H120" s="1" t="b">
        <f t="shared" si="12"/>
        <v>0</v>
      </c>
      <c r="I120" s="1" t="b">
        <f t="shared" si="13"/>
        <v>0</v>
      </c>
    </row>
    <row r="121" spans="1:9" x14ac:dyDescent="0.2">
      <c r="A121" s="1" t="s">
        <v>136</v>
      </c>
      <c r="B121" s="1">
        <v>3.7045111111111102</v>
      </c>
      <c r="C121" s="1">
        <v>0.32296379346868592</v>
      </c>
      <c r="D121" s="1">
        <f t="shared" si="8"/>
        <v>-1.2954888888888898</v>
      </c>
      <c r="E121" s="1">
        <f t="shared" si="9"/>
        <v>-0.97252509542020382</v>
      </c>
      <c r="F121" s="1">
        <f t="shared" si="10"/>
        <v>-1.6184526823575758</v>
      </c>
      <c r="G121" s="2" t="b">
        <f t="shared" si="11"/>
        <v>0</v>
      </c>
      <c r="H121" s="1" t="b">
        <f t="shared" si="12"/>
        <v>0</v>
      </c>
      <c r="I121" s="1" t="b">
        <f t="shared" si="13"/>
        <v>0</v>
      </c>
    </row>
    <row r="122" spans="1:9" x14ac:dyDescent="0.2">
      <c r="A122" s="1" t="s">
        <v>137</v>
      </c>
      <c r="B122" s="1">
        <v>5.3477777777777771</v>
      </c>
      <c r="C122" s="1">
        <v>0.25728491493876132</v>
      </c>
      <c r="D122" s="1">
        <f t="shared" si="8"/>
        <v>0.34777777777777708</v>
      </c>
      <c r="E122" s="1">
        <f t="shared" si="9"/>
        <v>0.60506269271653834</v>
      </c>
      <c r="F122" s="1">
        <f t="shared" si="10"/>
        <v>9.0492862839015753E-2</v>
      </c>
      <c r="G122" s="2" t="b">
        <f t="shared" si="11"/>
        <v>0</v>
      </c>
      <c r="H122" s="1" t="b">
        <f t="shared" si="12"/>
        <v>1</v>
      </c>
      <c r="I122" s="1" t="b">
        <f t="shared" si="13"/>
        <v>1</v>
      </c>
    </row>
    <row r="123" spans="1:9" x14ac:dyDescent="0.2">
      <c r="A123" s="1" t="s">
        <v>138</v>
      </c>
      <c r="B123" s="1">
        <v>3.9358222222222223</v>
      </c>
      <c r="C123" s="1">
        <v>0.34302689049566548</v>
      </c>
      <c r="D123" s="1">
        <f t="shared" si="8"/>
        <v>-1.0641777777777777</v>
      </c>
      <c r="E123" s="1">
        <f t="shared" si="9"/>
        <v>-0.72115088728211219</v>
      </c>
      <c r="F123" s="1">
        <f t="shared" si="10"/>
        <v>-1.4072046682734431</v>
      </c>
      <c r="G123" s="2" t="b">
        <f t="shared" si="11"/>
        <v>0</v>
      </c>
      <c r="H123" s="1" t="b">
        <f t="shared" si="12"/>
        <v>0</v>
      </c>
      <c r="I123" s="1" t="b">
        <f t="shared" si="13"/>
        <v>0</v>
      </c>
    </row>
    <row r="124" spans="1:9" x14ac:dyDescent="0.2">
      <c r="A124" s="1" t="s">
        <v>139</v>
      </c>
      <c r="B124" s="1">
        <v>4.9591777777777786</v>
      </c>
      <c r="C124" s="1">
        <v>0.25582482116717692</v>
      </c>
      <c r="D124" s="1">
        <f t="shared" si="8"/>
        <v>-4.0822222222221427E-2</v>
      </c>
      <c r="E124" s="1">
        <f t="shared" si="9"/>
        <v>0.21500259894495549</v>
      </c>
      <c r="F124" s="1">
        <f t="shared" si="10"/>
        <v>-0.29664704338939835</v>
      </c>
      <c r="G124" s="2" t="b">
        <f t="shared" si="11"/>
        <v>0</v>
      </c>
      <c r="H124" s="1" t="b">
        <f t="shared" si="12"/>
        <v>0</v>
      </c>
      <c r="I124" s="1" t="b">
        <f t="shared" si="13"/>
        <v>0</v>
      </c>
    </row>
    <row r="125" spans="1:9" x14ac:dyDescent="0.2">
      <c r="A125" s="1" t="s">
        <v>140</v>
      </c>
      <c r="B125" s="1">
        <v>5.5366888888888877</v>
      </c>
      <c r="C125" s="1">
        <v>0.21506980387977762</v>
      </c>
      <c r="D125" s="1">
        <f t="shared" si="8"/>
        <v>0.53668888888888766</v>
      </c>
      <c r="E125" s="1">
        <f t="shared" si="9"/>
        <v>0.75175869276866525</v>
      </c>
      <c r="F125" s="1">
        <f t="shared" si="10"/>
        <v>0.32161908500911007</v>
      </c>
      <c r="G125" s="2" t="b">
        <f t="shared" si="11"/>
        <v>0</v>
      </c>
      <c r="H125" s="1" t="b">
        <f t="shared" si="12"/>
        <v>1</v>
      </c>
      <c r="I125" s="1" t="b">
        <f t="shared" si="13"/>
        <v>1</v>
      </c>
    </row>
    <row r="126" spans="1:9" x14ac:dyDescent="0.2">
      <c r="A126" s="1" t="s">
        <v>141</v>
      </c>
      <c r="B126" s="1">
        <v>3.7868444444444442</v>
      </c>
      <c r="C126" s="1">
        <v>0.45592924490528108</v>
      </c>
      <c r="D126" s="1">
        <f t="shared" si="8"/>
        <v>-1.2131555555555558</v>
      </c>
      <c r="E126" s="1">
        <f t="shared" si="9"/>
        <v>-0.75722631065027468</v>
      </c>
      <c r="F126" s="1">
        <f t="shared" si="10"/>
        <v>-1.669084800460837</v>
      </c>
      <c r="G126" s="2" t="b">
        <f t="shared" si="11"/>
        <v>0</v>
      </c>
      <c r="H126" s="1" t="b">
        <f t="shared" si="12"/>
        <v>0</v>
      </c>
      <c r="I126" s="1" t="b">
        <f t="shared" si="13"/>
        <v>0</v>
      </c>
    </row>
    <row r="127" spans="1:9" x14ac:dyDescent="0.2">
      <c r="A127" s="1" t="s">
        <v>142</v>
      </c>
      <c r="B127" s="1">
        <v>4.9341333333333326</v>
      </c>
      <c r="C127" s="1">
        <v>0.53552835929588438</v>
      </c>
      <c r="D127" s="1">
        <f t="shared" si="8"/>
        <v>-6.5866666666667406E-2</v>
      </c>
      <c r="E127" s="1">
        <f t="shared" si="9"/>
        <v>0.46966169262921698</v>
      </c>
      <c r="F127" s="1">
        <f t="shared" si="10"/>
        <v>-0.60139502596255179</v>
      </c>
      <c r="G127" s="2" t="b">
        <f t="shared" si="11"/>
        <v>0</v>
      </c>
      <c r="H127" s="1" t="b">
        <f t="shared" si="12"/>
        <v>0</v>
      </c>
      <c r="I127" s="1" t="b">
        <f t="shared" si="13"/>
        <v>0</v>
      </c>
    </row>
    <row r="128" spans="1:9" x14ac:dyDescent="0.2">
      <c r="A128" s="1" t="s">
        <v>143</v>
      </c>
      <c r="B128" s="1">
        <v>4.6538666666666657</v>
      </c>
      <c r="C128" s="1">
        <v>0.19099592643857807</v>
      </c>
      <c r="D128" s="1">
        <f t="shared" si="8"/>
        <v>-0.34613333333333429</v>
      </c>
      <c r="E128" s="1">
        <f t="shared" si="9"/>
        <v>-0.15513740689475622</v>
      </c>
      <c r="F128" s="1">
        <f t="shared" si="10"/>
        <v>-0.53712925977191239</v>
      </c>
      <c r="G128" s="2" t="b">
        <f t="shared" si="11"/>
        <v>0</v>
      </c>
      <c r="H128" s="1" t="b">
        <f t="shared" si="12"/>
        <v>0</v>
      </c>
      <c r="I128" s="1" t="b">
        <f t="shared" si="13"/>
        <v>0</v>
      </c>
    </row>
    <row r="129" spans="1:9" x14ac:dyDescent="0.2">
      <c r="A129" s="1" t="s">
        <v>144</v>
      </c>
      <c r="B129" s="1">
        <v>2.4810222222222222</v>
      </c>
      <c r="C129" s="1">
        <v>0.32615242044043075</v>
      </c>
      <c r="D129" s="1">
        <f t="shared" si="8"/>
        <v>-2.5189777777777778</v>
      </c>
      <c r="E129" s="1">
        <f t="shared" si="9"/>
        <v>-2.1928253573373468</v>
      </c>
      <c r="F129" s="1">
        <f t="shared" si="10"/>
        <v>-2.8451301982182087</v>
      </c>
      <c r="G129" s="2" t="b">
        <f t="shared" si="11"/>
        <v>0</v>
      </c>
      <c r="H129" s="1" t="b">
        <f t="shared" si="12"/>
        <v>0</v>
      </c>
      <c r="I129" s="1" t="b">
        <f t="shared" si="13"/>
        <v>0</v>
      </c>
    </row>
    <row r="130" spans="1:9" x14ac:dyDescent="0.2">
      <c r="A130" s="1" t="s">
        <v>145</v>
      </c>
      <c r="B130" s="1">
        <v>4.907</v>
      </c>
      <c r="C130" s="1">
        <v>0.27844718239279281</v>
      </c>
      <c r="D130" s="1">
        <f t="shared" si="8"/>
        <v>-9.2999999999999972E-2</v>
      </c>
      <c r="E130" s="1">
        <f t="shared" si="9"/>
        <v>0.18544718239279284</v>
      </c>
      <c r="F130" s="1">
        <f t="shared" si="10"/>
        <v>-0.37144718239279279</v>
      </c>
      <c r="G130" s="2" t="b">
        <f t="shared" si="11"/>
        <v>1</v>
      </c>
      <c r="H130" s="1" t="b">
        <f t="shared" si="12"/>
        <v>0</v>
      </c>
      <c r="I130" s="1" t="b">
        <f t="shared" si="13"/>
        <v>1</v>
      </c>
    </row>
    <row r="131" spans="1:9" x14ac:dyDescent="0.2">
      <c r="A131" s="1" t="s">
        <v>146</v>
      </c>
      <c r="B131" s="1">
        <v>2.4436666666666671</v>
      </c>
      <c r="C131" s="1">
        <v>0.33620490913913587</v>
      </c>
      <c r="D131" s="1">
        <f t="shared" ref="D131:D194" si="14">B131-5</f>
        <v>-2.5563333333333329</v>
      </c>
      <c r="E131" s="1">
        <f t="shared" ref="E131:E194" si="15">D131+C131</f>
        <v>-2.220128424194197</v>
      </c>
      <c r="F131" s="1">
        <f t="shared" ref="F131:F194" si="16">D131-C131</f>
        <v>-2.8925382424724688</v>
      </c>
      <c r="G131" s="2" t="b">
        <f t="shared" ref="G131:G194" si="17">AND(E131 &lt;= $L$2, F131 &gt;= -$L$2, ISNUMBER(SEARCH("hq", A131)))</f>
        <v>0</v>
      </c>
      <c r="H131" s="1" t="b">
        <f t="shared" ref="H131:H194" si="18">AND(D131&gt;0, F131&gt;=-$L$2, E131&gt;$L$2, ISNUMBER(SEARCH("hq", A131)))</f>
        <v>0</v>
      </c>
      <c r="I131" s="1" t="b">
        <f t="shared" ref="I131:I194" si="19">AND(OR(G131=TRUE, H131=TRUE), ISNUMBER(SEARCH("hq", A131)))</f>
        <v>0</v>
      </c>
    </row>
    <row r="132" spans="1:9" x14ac:dyDescent="0.2">
      <c r="A132" s="1" t="s">
        <v>147</v>
      </c>
      <c r="B132" s="1">
        <v>4.81768888888889</v>
      </c>
      <c r="C132" s="1">
        <v>0.28556933409744628</v>
      </c>
      <c r="D132" s="1">
        <f t="shared" si="14"/>
        <v>-0.18231111111110998</v>
      </c>
      <c r="E132" s="1">
        <f t="shared" si="15"/>
        <v>0.1032582229863363</v>
      </c>
      <c r="F132" s="1">
        <f t="shared" si="16"/>
        <v>-0.46788044520855626</v>
      </c>
      <c r="G132" s="2" t="b">
        <f t="shared" si="17"/>
        <v>1</v>
      </c>
      <c r="H132" s="1" t="b">
        <f t="shared" si="18"/>
        <v>0</v>
      </c>
      <c r="I132" s="1" t="b">
        <f t="shared" si="19"/>
        <v>1</v>
      </c>
    </row>
    <row r="133" spans="1:9" x14ac:dyDescent="0.2">
      <c r="A133" s="1" t="s">
        <v>148</v>
      </c>
      <c r="B133" s="1">
        <v>2.173688888888889</v>
      </c>
      <c r="C133" s="1">
        <v>0.28680455302613383</v>
      </c>
      <c r="D133" s="1">
        <f t="shared" si="14"/>
        <v>-2.826311111111111</v>
      </c>
      <c r="E133" s="1">
        <f t="shared" si="15"/>
        <v>-2.5395065580849772</v>
      </c>
      <c r="F133" s="1">
        <f t="shared" si="16"/>
        <v>-3.1131156641372448</v>
      </c>
      <c r="G133" s="2" t="b">
        <f t="shared" si="17"/>
        <v>0</v>
      </c>
      <c r="H133" s="1" t="b">
        <f t="shared" si="18"/>
        <v>0</v>
      </c>
      <c r="I133" s="1" t="b">
        <f t="shared" si="19"/>
        <v>0</v>
      </c>
    </row>
    <row r="134" spans="1:9" x14ac:dyDescent="0.2">
      <c r="A134" s="1" t="s">
        <v>149</v>
      </c>
      <c r="B134" s="1">
        <v>2.508688888888889</v>
      </c>
      <c r="C134" s="1">
        <v>0.37199148537732241</v>
      </c>
      <c r="D134" s="1">
        <f t="shared" si="14"/>
        <v>-2.491311111111111</v>
      </c>
      <c r="E134" s="1">
        <f t="shared" si="15"/>
        <v>-2.1193196257337887</v>
      </c>
      <c r="F134" s="1">
        <f t="shared" si="16"/>
        <v>-2.8633025964884333</v>
      </c>
      <c r="G134" s="2" t="b">
        <f t="shared" si="17"/>
        <v>0</v>
      </c>
      <c r="H134" s="1" t="b">
        <f t="shared" si="18"/>
        <v>0</v>
      </c>
      <c r="I134" s="1" t="b">
        <f t="shared" si="19"/>
        <v>0</v>
      </c>
    </row>
    <row r="135" spans="1:9" x14ac:dyDescent="0.2">
      <c r="A135" s="1" t="s">
        <v>150</v>
      </c>
      <c r="B135" s="1">
        <v>5.0443999999999987</v>
      </c>
      <c r="C135" s="1">
        <v>0.24824011928238904</v>
      </c>
      <c r="D135" s="1">
        <f t="shared" si="14"/>
        <v>4.4399999999998663E-2</v>
      </c>
      <c r="E135" s="1">
        <f t="shared" si="15"/>
        <v>0.2926401192823877</v>
      </c>
      <c r="F135" s="1">
        <f t="shared" si="16"/>
        <v>-0.20384011928239038</v>
      </c>
      <c r="G135" s="2" t="b">
        <f t="shared" si="17"/>
        <v>1</v>
      </c>
      <c r="H135" s="1" t="b">
        <f t="shared" si="18"/>
        <v>0</v>
      </c>
      <c r="I135" s="1" t="b">
        <f t="shared" si="19"/>
        <v>1</v>
      </c>
    </row>
    <row r="136" spans="1:9" x14ac:dyDescent="0.2">
      <c r="A136" s="1" t="s">
        <v>151</v>
      </c>
      <c r="B136" s="1">
        <v>2.2337111111111101</v>
      </c>
      <c r="C136" s="1">
        <v>0.28978479244350774</v>
      </c>
      <c r="D136" s="1">
        <f t="shared" si="14"/>
        <v>-2.7662888888888899</v>
      </c>
      <c r="E136" s="1">
        <f t="shared" si="15"/>
        <v>-2.4765040964453822</v>
      </c>
      <c r="F136" s="1">
        <f t="shared" si="16"/>
        <v>-3.0560736813323977</v>
      </c>
      <c r="G136" s="2" t="b">
        <f t="shared" si="17"/>
        <v>0</v>
      </c>
      <c r="H136" s="1" t="b">
        <f t="shared" si="18"/>
        <v>0</v>
      </c>
      <c r="I136" s="1" t="b">
        <f t="shared" si="19"/>
        <v>0</v>
      </c>
    </row>
    <row r="137" spans="1:9" x14ac:dyDescent="0.2">
      <c r="A137" s="1" t="s">
        <v>152</v>
      </c>
      <c r="B137" s="1">
        <v>3.322466666666668</v>
      </c>
      <c r="C137" s="1">
        <v>0.45386292915444637</v>
      </c>
      <c r="D137" s="1">
        <f t="shared" si="14"/>
        <v>-1.677533333333332</v>
      </c>
      <c r="E137" s="1">
        <f t="shared" si="15"/>
        <v>-1.2236704041788857</v>
      </c>
      <c r="F137" s="1">
        <f t="shared" si="16"/>
        <v>-2.1313962624877782</v>
      </c>
      <c r="G137" s="2" t="b">
        <f t="shared" si="17"/>
        <v>0</v>
      </c>
      <c r="H137" s="1" t="b">
        <f t="shared" si="18"/>
        <v>0</v>
      </c>
      <c r="I137" s="1" t="b">
        <f t="shared" si="19"/>
        <v>0</v>
      </c>
    </row>
    <row r="138" spans="1:9" x14ac:dyDescent="0.2">
      <c r="A138" s="1" t="s">
        <v>153</v>
      </c>
      <c r="B138" s="1">
        <v>4.9913333333333316</v>
      </c>
      <c r="C138" s="1">
        <v>0.165909441555885</v>
      </c>
      <c r="D138" s="1">
        <f t="shared" si="14"/>
        <v>-8.6666666666683767E-3</v>
      </c>
      <c r="E138" s="1">
        <f t="shared" si="15"/>
        <v>0.15724277488921662</v>
      </c>
      <c r="F138" s="1">
        <f t="shared" si="16"/>
        <v>-0.17457610822255337</v>
      </c>
      <c r="G138" s="2" t="b">
        <f t="shared" si="17"/>
        <v>1</v>
      </c>
      <c r="H138" s="1" t="b">
        <f t="shared" si="18"/>
        <v>0</v>
      </c>
      <c r="I138" s="1" t="b">
        <f t="shared" si="19"/>
        <v>1</v>
      </c>
    </row>
    <row r="139" spans="1:9" x14ac:dyDescent="0.2">
      <c r="A139" s="1" t="s">
        <v>154</v>
      </c>
      <c r="B139" s="1">
        <v>2.0230222222222221</v>
      </c>
      <c r="C139" s="1">
        <v>0.28284890901674403</v>
      </c>
      <c r="D139" s="1">
        <f t="shared" si="14"/>
        <v>-2.9769777777777779</v>
      </c>
      <c r="E139" s="1">
        <f t="shared" si="15"/>
        <v>-2.6941288687610339</v>
      </c>
      <c r="F139" s="1">
        <f t="shared" si="16"/>
        <v>-3.259826686794522</v>
      </c>
      <c r="G139" s="2" t="b">
        <f t="shared" si="17"/>
        <v>0</v>
      </c>
      <c r="H139" s="1" t="b">
        <f t="shared" si="18"/>
        <v>0</v>
      </c>
      <c r="I139" s="1" t="b">
        <f t="shared" si="19"/>
        <v>0</v>
      </c>
    </row>
    <row r="140" spans="1:9" x14ac:dyDescent="0.2">
      <c r="A140" s="1" t="s">
        <v>155</v>
      </c>
      <c r="B140" s="1">
        <v>3.1460888888888885</v>
      </c>
      <c r="C140" s="1">
        <v>0.42306848333977914</v>
      </c>
      <c r="D140" s="1">
        <f t="shared" si="14"/>
        <v>-1.8539111111111115</v>
      </c>
      <c r="E140" s="1">
        <f t="shared" si="15"/>
        <v>-1.4308426277713324</v>
      </c>
      <c r="F140" s="1">
        <f t="shared" si="16"/>
        <v>-2.2769795944508906</v>
      </c>
      <c r="G140" s="2" t="b">
        <f t="shared" si="17"/>
        <v>0</v>
      </c>
      <c r="H140" s="1" t="b">
        <f t="shared" si="18"/>
        <v>0</v>
      </c>
      <c r="I140" s="1" t="b">
        <f t="shared" si="19"/>
        <v>0</v>
      </c>
    </row>
    <row r="141" spans="1:9" x14ac:dyDescent="0.2">
      <c r="A141" s="1" t="s">
        <v>156</v>
      </c>
      <c r="B141" s="1">
        <v>4.919777777777778</v>
      </c>
      <c r="C141" s="1">
        <v>0.23862169768244829</v>
      </c>
      <c r="D141" s="1">
        <f t="shared" si="14"/>
        <v>-8.0222222222221973E-2</v>
      </c>
      <c r="E141" s="1">
        <f t="shared" si="15"/>
        <v>0.15839947546022631</v>
      </c>
      <c r="F141" s="1">
        <f t="shared" si="16"/>
        <v>-0.31884391990467026</v>
      </c>
      <c r="G141" s="2" t="b">
        <f t="shared" si="17"/>
        <v>1</v>
      </c>
      <c r="H141" s="1" t="b">
        <f t="shared" si="18"/>
        <v>0</v>
      </c>
      <c r="I141" s="1" t="b">
        <f t="shared" si="19"/>
        <v>1</v>
      </c>
    </row>
    <row r="142" spans="1:9" x14ac:dyDescent="0.2">
      <c r="A142" s="1" t="s">
        <v>157</v>
      </c>
      <c r="B142" s="1">
        <v>2.4357999999999995</v>
      </c>
      <c r="C142" s="1">
        <v>0.30355139854958985</v>
      </c>
      <c r="D142" s="1">
        <f t="shared" si="14"/>
        <v>-2.5642000000000005</v>
      </c>
      <c r="E142" s="1">
        <f t="shared" si="15"/>
        <v>-2.2606486014504106</v>
      </c>
      <c r="F142" s="1">
        <f t="shared" si="16"/>
        <v>-2.8677513985495904</v>
      </c>
      <c r="G142" s="2" t="b">
        <f t="shared" si="17"/>
        <v>0</v>
      </c>
      <c r="H142" s="1" t="b">
        <f t="shared" si="18"/>
        <v>0</v>
      </c>
      <c r="I142" s="1" t="b">
        <f t="shared" si="19"/>
        <v>0</v>
      </c>
    </row>
    <row r="143" spans="1:9" x14ac:dyDescent="0.2">
      <c r="A143" s="1" t="s">
        <v>158</v>
      </c>
      <c r="B143" s="1">
        <v>3.8761333333333341</v>
      </c>
      <c r="C143" s="1">
        <v>0.34164747567658604</v>
      </c>
      <c r="D143" s="1">
        <f t="shared" si="14"/>
        <v>-1.1238666666666659</v>
      </c>
      <c r="E143" s="1">
        <f t="shared" si="15"/>
        <v>-0.78221919099007986</v>
      </c>
      <c r="F143" s="1">
        <f t="shared" si="16"/>
        <v>-1.4655141423432521</v>
      </c>
      <c r="G143" s="2" t="b">
        <f t="shared" si="17"/>
        <v>0</v>
      </c>
      <c r="H143" s="1" t="b">
        <f t="shared" si="18"/>
        <v>0</v>
      </c>
      <c r="I143" s="1" t="b">
        <f t="shared" si="19"/>
        <v>0</v>
      </c>
    </row>
    <row r="144" spans="1:9" x14ac:dyDescent="0.2">
      <c r="A144" s="1" t="s">
        <v>159</v>
      </c>
      <c r="B144" s="1">
        <v>4.969955555555555</v>
      </c>
      <c r="C144" s="1">
        <v>0.14477754131524292</v>
      </c>
      <c r="D144" s="1">
        <f t="shared" si="14"/>
        <v>-3.0044444444444984E-2</v>
      </c>
      <c r="E144" s="1">
        <f t="shared" si="15"/>
        <v>0.11473309687079794</v>
      </c>
      <c r="F144" s="1">
        <f t="shared" si="16"/>
        <v>-0.17482198575968791</v>
      </c>
      <c r="G144" s="2" t="b">
        <f t="shared" si="17"/>
        <v>1</v>
      </c>
      <c r="H144" s="1" t="b">
        <f t="shared" si="18"/>
        <v>0</v>
      </c>
      <c r="I144" s="1" t="b">
        <f t="shared" si="19"/>
        <v>1</v>
      </c>
    </row>
    <row r="145" spans="1:9" x14ac:dyDescent="0.2">
      <c r="A145" s="1" t="s">
        <v>160</v>
      </c>
      <c r="B145" s="1">
        <v>2.1526222222222229</v>
      </c>
      <c r="C145" s="1">
        <v>0.272397240846523</v>
      </c>
      <c r="D145" s="1">
        <f t="shared" si="14"/>
        <v>-2.8473777777777771</v>
      </c>
      <c r="E145" s="1">
        <f t="shared" si="15"/>
        <v>-2.5749805369312542</v>
      </c>
      <c r="F145" s="1">
        <f t="shared" si="16"/>
        <v>-3.1197750186243001</v>
      </c>
      <c r="G145" s="2" t="b">
        <f t="shared" si="17"/>
        <v>0</v>
      </c>
      <c r="H145" s="1" t="b">
        <f t="shared" si="18"/>
        <v>0</v>
      </c>
      <c r="I145" s="1" t="b">
        <f t="shared" si="19"/>
        <v>0</v>
      </c>
    </row>
    <row r="146" spans="1:9" x14ac:dyDescent="0.2">
      <c r="A146" s="1" t="s">
        <v>161</v>
      </c>
      <c r="B146" s="1">
        <v>2.9761111111111109</v>
      </c>
      <c r="C146" s="1">
        <v>0.37021207213152546</v>
      </c>
      <c r="D146" s="1">
        <f t="shared" si="14"/>
        <v>-2.0238888888888891</v>
      </c>
      <c r="E146" s="1">
        <f t="shared" si="15"/>
        <v>-1.6536768167573637</v>
      </c>
      <c r="F146" s="1">
        <f t="shared" si="16"/>
        <v>-2.3941009610204147</v>
      </c>
      <c r="G146" s="2" t="b">
        <f t="shared" si="17"/>
        <v>0</v>
      </c>
      <c r="H146" s="1" t="b">
        <f t="shared" si="18"/>
        <v>0</v>
      </c>
      <c r="I146" s="1" t="b">
        <f t="shared" si="19"/>
        <v>0</v>
      </c>
    </row>
    <row r="147" spans="1:9" x14ac:dyDescent="0.2">
      <c r="A147" s="1" t="s">
        <v>162</v>
      </c>
      <c r="B147" s="1">
        <v>5.0185111111111098</v>
      </c>
      <c r="C147" s="1">
        <v>0.15261741376660648</v>
      </c>
      <c r="D147" s="1">
        <f t="shared" si="14"/>
        <v>1.8511111111109813E-2</v>
      </c>
      <c r="E147" s="1">
        <f t="shared" si="15"/>
        <v>0.17112852487771629</v>
      </c>
      <c r="F147" s="1">
        <f t="shared" si="16"/>
        <v>-0.13410630265549667</v>
      </c>
      <c r="G147" s="2" t="b">
        <f t="shared" si="17"/>
        <v>1</v>
      </c>
      <c r="H147" s="1" t="b">
        <f t="shared" si="18"/>
        <v>0</v>
      </c>
      <c r="I147" s="1" t="b">
        <f t="shared" si="19"/>
        <v>1</v>
      </c>
    </row>
    <row r="148" spans="1:9" x14ac:dyDescent="0.2">
      <c r="A148" s="1" t="s">
        <v>163</v>
      </c>
      <c r="B148" s="1">
        <v>1.9132000000000002</v>
      </c>
      <c r="C148" s="1">
        <v>0.31997169252572616</v>
      </c>
      <c r="D148" s="1">
        <f t="shared" si="14"/>
        <v>-3.0867999999999998</v>
      </c>
      <c r="E148" s="1">
        <f t="shared" si="15"/>
        <v>-2.7668283074742734</v>
      </c>
      <c r="F148" s="1">
        <f t="shared" si="16"/>
        <v>-3.4067716925257261</v>
      </c>
      <c r="G148" s="2" t="b">
        <f t="shared" si="17"/>
        <v>0</v>
      </c>
      <c r="H148" s="1" t="b">
        <f t="shared" si="18"/>
        <v>0</v>
      </c>
      <c r="I148" s="1" t="b">
        <f t="shared" si="19"/>
        <v>0</v>
      </c>
    </row>
    <row r="149" spans="1:9" x14ac:dyDescent="0.2">
      <c r="A149" s="1" t="s">
        <v>164</v>
      </c>
      <c r="B149" s="1">
        <v>3.1115333333333339</v>
      </c>
      <c r="C149" s="1">
        <v>0.37472509841365587</v>
      </c>
      <c r="D149" s="1">
        <f t="shared" si="14"/>
        <v>-1.8884666666666661</v>
      </c>
      <c r="E149" s="1">
        <f t="shared" si="15"/>
        <v>-1.5137415682530102</v>
      </c>
      <c r="F149" s="1">
        <f t="shared" si="16"/>
        <v>-2.2631917650803217</v>
      </c>
      <c r="G149" s="2" t="b">
        <f t="shared" si="17"/>
        <v>0</v>
      </c>
      <c r="H149" s="1" t="b">
        <f t="shared" si="18"/>
        <v>0</v>
      </c>
      <c r="I149" s="1" t="b">
        <f t="shared" si="19"/>
        <v>0</v>
      </c>
    </row>
    <row r="150" spans="1:9" x14ac:dyDescent="0.2">
      <c r="A150" s="1" t="s">
        <v>165</v>
      </c>
      <c r="B150" s="1">
        <v>4.8448222222222226</v>
      </c>
      <c r="C150" s="1">
        <v>0.12859934528661196</v>
      </c>
      <c r="D150" s="1">
        <f t="shared" si="14"/>
        <v>-0.15517777777777741</v>
      </c>
      <c r="E150" s="1">
        <f t="shared" si="15"/>
        <v>-2.6578432491165455E-2</v>
      </c>
      <c r="F150" s="1">
        <f t="shared" si="16"/>
        <v>-0.2837771230643894</v>
      </c>
      <c r="G150" s="2" t="b">
        <f t="shared" si="17"/>
        <v>1</v>
      </c>
      <c r="H150" s="1" t="b">
        <f t="shared" si="18"/>
        <v>0</v>
      </c>
      <c r="I150" s="1" t="b">
        <f t="shared" si="19"/>
        <v>1</v>
      </c>
    </row>
    <row r="151" spans="1:9" x14ac:dyDescent="0.2">
      <c r="A151" s="1" t="s">
        <v>166</v>
      </c>
      <c r="B151" s="1">
        <v>2.079022222222223</v>
      </c>
      <c r="C151" s="1">
        <v>0.300768529675005</v>
      </c>
      <c r="D151" s="1">
        <f t="shared" si="14"/>
        <v>-2.920977777777777</v>
      </c>
      <c r="E151" s="1">
        <f t="shared" si="15"/>
        <v>-2.6202092481027721</v>
      </c>
      <c r="F151" s="1">
        <f t="shared" si="16"/>
        <v>-3.2217463074527819</v>
      </c>
      <c r="G151" s="2" t="b">
        <f t="shared" si="17"/>
        <v>0</v>
      </c>
      <c r="H151" s="1" t="b">
        <f t="shared" si="18"/>
        <v>0</v>
      </c>
      <c r="I151" s="1" t="b">
        <f t="shared" si="19"/>
        <v>0</v>
      </c>
    </row>
    <row r="152" spans="1:9" x14ac:dyDescent="0.2">
      <c r="A152" s="1" t="s">
        <v>167</v>
      </c>
      <c r="B152" s="1">
        <v>3.2646222222222221</v>
      </c>
      <c r="C152" s="1">
        <v>0.3660978035036338</v>
      </c>
      <c r="D152" s="1">
        <f t="shared" si="14"/>
        <v>-1.7353777777777779</v>
      </c>
      <c r="E152" s="1">
        <f t="shared" si="15"/>
        <v>-1.3692799742741442</v>
      </c>
      <c r="F152" s="1">
        <f t="shared" si="16"/>
        <v>-2.1014755812814117</v>
      </c>
      <c r="G152" s="2" t="b">
        <f t="shared" si="17"/>
        <v>0</v>
      </c>
      <c r="H152" s="1" t="b">
        <f t="shared" si="18"/>
        <v>0</v>
      </c>
      <c r="I152" s="1" t="b">
        <f t="shared" si="19"/>
        <v>0</v>
      </c>
    </row>
    <row r="153" spans="1:9" x14ac:dyDescent="0.2">
      <c r="A153" s="1" t="s">
        <v>168</v>
      </c>
      <c r="B153" s="1">
        <v>4.9629555555555553</v>
      </c>
      <c r="C153" s="1">
        <v>0.24286467432068953</v>
      </c>
      <c r="D153" s="1">
        <f t="shared" si="14"/>
        <v>-3.7044444444444657E-2</v>
      </c>
      <c r="E153" s="1">
        <f t="shared" si="15"/>
        <v>0.20582022987624488</v>
      </c>
      <c r="F153" s="1">
        <f t="shared" si="16"/>
        <v>-0.27990911876513419</v>
      </c>
      <c r="G153" s="2" t="b">
        <f t="shared" si="17"/>
        <v>1</v>
      </c>
      <c r="H153" s="1" t="b">
        <f t="shared" si="18"/>
        <v>0</v>
      </c>
      <c r="I153" s="1" t="b">
        <f t="shared" si="19"/>
        <v>1</v>
      </c>
    </row>
    <row r="154" spans="1:9" x14ac:dyDescent="0.2">
      <c r="A154" s="1" t="s">
        <v>169</v>
      </c>
      <c r="B154" s="1">
        <v>1.9230222222222224</v>
      </c>
      <c r="C154" s="1">
        <v>0.23651538233558472</v>
      </c>
      <c r="D154" s="1">
        <f t="shared" si="14"/>
        <v>-3.0769777777777776</v>
      </c>
      <c r="E154" s="1">
        <f t="shared" si="15"/>
        <v>-2.8404623954421928</v>
      </c>
      <c r="F154" s="1">
        <f t="shared" si="16"/>
        <v>-3.3134931601133624</v>
      </c>
      <c r="G154" s="2" t="b">
        <f t="shared" si="17"/>
        <v>0</v>
      </c>
      <c r="H154" s="1" t="b">
        <f t="shared" si="18"/>
        <v>0</v>
      </c>
      <c r="I154" s="1" t="b">
        <f t="shared" si="19"/>
        <v>0</v>
      </c>
    </row>
    <row r="155" spans="1:9" x14ac:dyDescent="0.2">
      <c r="A155" s="1" t="s">
        <v>170</v>
      </c>
      <c r="B155" s="1">
        <v>2.7789777777777775</v>
      </c>
      <c r="C155" s="1">
        <v>0.31888795076565407</v>
      </c>
      <c r="D155" s="1">
        <f t="shared" si="14"/>
        <v>-2.2210222222222225</v>
      </c>
      <c r="E155" s="1">
        <f t="shared" si="15"/>
        <v>-1.9021342714565683</v>
      </c>
      <c r="F155" s="1">
        <f t="shared" si="16"/>
        <v>-2.5399101729878764</v>
      </c>
      <c r="G155" s="2" t="b">
        <f t="shared" si="17"/>
        <v>0</v>
      </c>
      <c r="H155" s="1" t="b">
        <f t="shared" si="18"/>
        <v>0</v>
      </c>
      <c r="I155" s="1" t="b">
        <f t="shared" si="19"/>
        <v>0</v>
      </c>
    </row>
    <row r="156" spans="1:9" x14ac:dyDescent="0.2">
      <c r="A156" s="1" t="s">
        <v>171</v>
      </c>
      <c r="B156" s="1">
        <v>4.901644444444444</v>
      </c>
      <c r="C156" s="1">
        <v>0.17015570716352574</v>
      </c>
      <c r="D156" s="1">
        <f t="shared" si="14"/>
        <v>-9.8355555555555974E-2</v>
      </c>
      <c r="E156" s="1">
        <f t="shared" si="15"/>
        <v>7.1800151607969764E-2</v>
      </c>
      <c r="F156" s="1">
        <f t="shared" si="16"/>
        <v>-0.26851126271908171</v>
      </c>
      <c r="G156" s="2" t="b">
        <f t="shared" si="17"/>
        <v>1</v>
      </c>
      <c r="H156" s="1" t="b">
        <f t="shared" si="18"/>
        <v>0</v>
      </c>
      <c r="I156" s="1" t="b">
        <f t="shared" si="19"/>
        <v>1</v>
      </c>
    </row>
    <row r="157" spans="1:9" x14ac:dyDescent="0.2">
      <c r="A157" s="1" t="s">
        <v>172</v>
      </c>
      <c r="B157" s="1">
        <v>2.2358222222222222</v>
      </c>
      <c r="C157" s="1">
        <v>0.27062615733039064</v>
      </c>
      <c r="D157" s="1">
        <f t="shared" si="14"/>
        <v>-2.7641777777777778</v>
      </c>
      <c r="E157" s="1">
        <f t="shared" si="15"/>
        <v>-2.4935516204473873</v>
      </c>
      <c r="F157" s="1">
        <f t="shared" si="16"/>
        <v>-3.0348039351081684</v>
      </c>
      <c r="G157" s="2" t="b">
        <f t="shared" si="17"/>
        <v>0</v>
      </c>
      <c r="H157" s="1" t="b">
        <f t="shared" si="18"/>
        <v>0</v>
      </c>
      <c r="I157" s="1" t="b">
        <f t="shared" si="19"/>
        <v>0</v>
      </c>
    </row>
    <row r="158" spans="1:9" x14ac:dyDescent="0.2">
      <c r="A158" s="1" t="s">
        <v>173</v>
      </c>
      <c r="B158" s="1">
        <v>5.1139777777777784</v>
      </c>
      <c r="C158" s="1">
        <v>0.14865148074902337</v>
      </c>
      <c r="D158" s="1">
        <f t="shared" si="14"/>
        <v>0.1139777777777784</v>
      </c>
      <c r="E158" s="1">
        <f t="shared" si="15"/>
        <v>0.26262925852680175</v>
      </c>
      <c r="F158" s="1">
        <f t="shared" si="16"/>
        <v>-3.4673702971244974E-2</v>
      </c>
      <c r="G158" s="2" t="b">
        <f t="shared" si="17"/>
        <v>1</v>
      </c>
      <c r="H158" s="1" t="b">
        <f t="shared" si="18"/>
        <v>0</v>
      </c>
      <c r="I158" s="1" t="b">
        <f t="shared" si="19"/>
        <v>1</v>
      </c>
    </row>
    <row r="159" spans="1:9" x14ac:dyDescent="0.2">
      <c r="A159" s="1" t="s">
        <v>174</v>
      </c>
      <c r="B159" s="1">
        <v>2.6180666666666665</v>
      </c>
      <c r="C159" s="1">
        <v>0.40482034957401652</v>
      </c>
      <c r="D159" s="1">
        <f t="shared" si="14"/>
        <v>-2.3819333333333335</v>
      </c>
      <c r="E159" s="1">
        <f t="shared" si="15"/>
        <v>-1.9771129837593169</v>
      </c>
      <c r="F159" s="1">
        <f t="shared" si="16"/>
        <v>-2.7867536829073498</v>
      </c>
      <c r="G159" s="2" t="b">
        <f t="shared" si="17"/>
        <v>0</v>
      </c>
      <c r="H159" s="1" t="b">
        <f t="shared" si="18"/>
        <v>0</v>
      </c>
      <c r="I159" s="1" t="b">
        <f t="shared" si="19"/>
        <v>0</v>
      </c>
    </row>
    <row r="160" spans="1:9" x14ac:dyDescent="0.2">
      <c r="A160" s="1" t="s">
        <v>175</v>
      </c>
      <c r="B160" s="1">
        <v>3.8469111111111109</v>
      </c>
      <c r="C160" s="1">
        <v>0.35305571682122977</v>
      </c>
      <c r="D160" s="1">
        <f t="shared" si="14"/>
        <v>-1.1530888888888891</v>
      </c>
      <c r="E160" s="1">
        <f t="shared" si="15"/>
        <v>-0.80003317206765923</v>
      </c>
      <c r="F160" s="1">
        <f t="shared" si="16"/>
        <v>-1.5061446057101189</v>
      </c>
      <c r="G160" s="2" t="b">
        <f t="shared" si="17"/>
        <v>0</v>
      </c>
      <c r="H160" s="1" t="b">
        <f t="shared" si="18"/>
        <v>0</v>
      </c>
      <c r="I160" s="1" t="b">
        <f t="shared" si="19"/>
        <v>0</v>
      </c>
    </row>
    <row r="161" spans="1:9" x14ac:dyDescent="0.2">
      <c r="A161" s="1" t="s">
        <v>176</v>
      </c>
      <c r="B161" s="1">
        <v>5.1320888888888891</v>
      </c>
      <c r="C161" s="1">
        <v>0.22320250324508667</v>
      </c>
      <c r="D161" s="1">
        <f t="shared" si="14"/>
        <v>0.13208888888888914</v>
      </c>
      <c r="E161" s="1">
        <f t="shared" si="15"/>
        <v>0.35529139213397581</v>
      </c>
      <c r="F161" s="1">
        <f t="shared" si="16"/>
        <v>-9.1113614356197525E-2</v>
      </c>
      <c r="G161" s="2" t="b">
        <f t="shared" si="17"/>
        <v>1</v>
      </c>
      <c r="H161" s="1" t="b">
        <f t="shared" si="18"/>
        <v>0</v>
      </c>
      <c r="I161" s="1" t="b">
        <f t="shared" si="19"/>
        <v>1</v>
      </c>
    </row>
    <row r="162" spans="1:9" x14ac:dyDescent="0.2">
      <c r="A162" s="1" t="s">
        <v>177</v>
      </c>
      <c r="B162" s="1">
        <v>2.8756666666666666</v>
      </c>
      <c r="C162" s="1">
        <v>0.32974959086297728</v>
      </c>
      <c r="D162" s="1">
        <f t="shared" si="14"/>
        <v>-2.1243333333333334</v>
      </c>
      <c r="E162" s="1">
        <f t="shared" si="15"/>
        <v>-1.7945837424703561</v>
      </c>
      <c r="F162" s="1">
        <f t="shared" si="16"/>
        <v>-2.4540829241963107</v>
      </c>
      <c r="G162" s="2" t="b">
        <f t="shared" si="17"/>
        <v>0</v>
      </c>
      <c r="H162" s="1" t="b">
        <f t="shared" si="18"/>
        <v>0</v>
      </c>
      <c r="I162" s="1" t="b">
        <f t="shared" si="19"/>
        <v>0</v>
      </c>
    </row>
    <row r="163" spans="1:9" x14ac:dyDescent="0.2">
      <c r="A163" s="1" t="s">
        <v>178</v>
      </c>
      <c r="B163" s="1">
        <v>4.9189999999999987</v>
      </c>
      <c r="C163" s="1">
        <v>0.21638394662308716</v>
      </c>
      <c r="D163" s="1">
        <f t="shared" si="14"/>
        <v>-8.1000000000001293E-2</v>
      </c>
      <c r="E163" s="1">
        <f t="shared" si="15"/>
        <v>0.13538394662308587</v>
      </c>
      <c r="F163" s="1">
        <f t="shared" si="16"/>
        <v>-0.29738394662308842</v>
      </c>
      <c r="G163" s="2" t="b">
        <f t="shared" si="17"/>
        <v>0</v>
      </c>
      <c r="H163" s="1" t="b">
        <f t="shared" si="18"/>
        <v>0</v>
      </c>
      <c r="I163" s="1" t="b">
        <f t="shared" si="19"/>
        <v>0</v>
      </c>
    </row>
    <row r="164" spans="1:9" x14ac:dyDescent="0.2">
      <c r="A164" s="1" t="s">
        <v>179</v>
      </c>
      <c r="B164" s="1">
        <v>5.0012222222222222</v>
      </c>
      <c r="C164" s="1">
        <v>0.31634105515084709</v>
      </c>
      <c r="D164" s="1">
        <f t="shared" si="14"/>
        <v>1.2222222222222356E-3</v>
      </c>
      <c r="E164" s="1">
        <f t="shared" si="15"/>
        <v>0.31756327737306933</v>
      </c>
      <c r="F164" s="1">
        <f t="shared" si="16"/>
        <v>-0.31511883292862486</v>
      </c>
      <c r="G164" s="2" t="b">
        <f t="shared" si="17"/>
        <v>1</v>
      </c>
      <c r="H164" s="1" t="b">
        <f t="shared" si="18"/>
        <v>0</v>
      </c>
      <c r="I164" s="1" t="b">
        <f t="shared" si="19"/>
        <v>1</v>
      </c>
    </row>
    <row r="165" spans="1:9" x14ac:dyDescent="0.2">
      <c r="A165" s="1" t="s">
        <v>180</v>
      </c>
      <c r="B165" s="1">
        <v>3.7263111111111114</v>
      </c>
      <c r="C165" s="1">
        <v>0.48208155843968054</v>
      </c>
      <c r="D165" s="1">
        <f t="shared" si="14"/>
        <v>-1.2736888888888886</v>
      </c>
      <c r="E165" s="1">
        <f t="shared" si="15"/>
        <v>-0.79160733044920817</v>
      </c>
      <c r="F165" s="1">
        <f t="shared" si="16"/>
        <v>-1.7557704473285691</v>
      </c>
      <c r="G165" s="2" t="b">
        <f t="shared" si="17"/>
        <v>0</v>
      </c>
      <c r="H165" s="1" t="b">
        <f t="shared" si="18"/>
        <v>0</v>
      </c>
      <c r="I165" s="1" t="b">
        <f t="shared" si="19"/>
        <v>0</v>
      </c>
    </row>
    <row r="166" spans="1:9" x14ac:dyDescent="0.2">
      <c r="A166" s="1" t="s">
        <v>181</v>
      </c>
      <c r="B166" s="1">
        <v>4.2139111111111118</v>
      </c>
      <c r="C166" s="1">
        <v>0.39732049162538491</v>
      </c>
      <c r="D166" s="1">
        <f t="shared" si="14"/>
        <v>-0.78608888888888817</v>
      </c>
      <c r="E166" s="1">
        <f t="shared" si="15"/>
        <v>-0.38876839726350326</v>
      </c>
      <c r="F166" s="1">
        <f t="shared" si="16"/>
        <v>-1.1834093805142731</v>
      </c>
      <c r="G166" s="2" t="b">
        <f t="shared" si="17"/>
        <v>0</v>
      </c>
      <c r="H166" s="1" t="b">
        <f t="shared" si="18"/>
        <v>0</v>
      </c>
      <c r="I166" s="1" t="b">
        <f t="shared" si="19"/>
        <v>0</v>
      </c>
    </row>
    <row r="167" spans="1:9" x14ac:dyDescent="0.2">
      <c r="A167" s="1" t="s">
        <v>182</v>
      </c>
      <c r="B167" s="1">
        <v>5.0883555555555553</v>
      </c>
      <c r="C167" s="1">
        <v>0.26422822902027915</v>
      </c>
      <c r="D167" s="1">
        <f t="shared" si="14"/>
        <v>8.8355555555555298E-2</v>
      </c>
      <c r="E167" s="1">
        <f t="shared" si="15"/>
        <v>0.35258378457583445</v>
      </c>
      <c r="F167" s="1">
        <f t="shared" si="16"/>
        <v>-0.17587267346472385</v>
      </c>
      <c r="G167" s="2" t="b">
        <f t="shared" si="17"/>
        <v>1</v>
      </c>
      <c r="H167" s="1" t="b">
        <f t="shared" si="18"/>
        <v>0</v>
      </c>
      <c r="I167" s="1" t="b">
        <f t="shared" si="19"/>
        <v>1</v>
      </c>
    </row>
    <row r="168" spans="1:9" x14ac:dyDescent="0.2">
      <c r="A168" s="1" t="s">
        <v>183</v>
      </c>
      <c r="B168" s="1">
        <v>3.5568444444444434</v>
      </c>
      <c r="C168" s="1">
        <v>0.47956850142570123</v>
      </c>
      <c r="D168" s="1">
        <f t="shared" si="14"/>
        <v>-1.4431555555555566</v>
      </c>
      <c r="E168" s="1">
        <f t="shared" si="15"/>
        <v>-0.96358705412985546</v>
      </c>
      <c r="F168" s="1">
        <f t="shared" si="16"/>
        <v>-1.9227240569812578</v>
      </c>
      <c r="G168" s="2" t="b">
        <f t="shared" si="17"/>
        <v>0</v>
      </c>
      <c r="H168" s="1" t="b">
        <f t="shared" si="18"/>
        <v>0</v>
      </c>
      <c r="I168" s="1" t="b">
        <f t="shared" si="19"/>
        <v>0</v>
      </c>
    </row>
    <row r="169" spans="1:9" x14ac:dyDescent="0.2">
      <c r="A169" s="1" t="s">
        <v>184</v>
      </c>
      <c r="B169" s="1">
        <v>3.8699555555555558</v>
      </c>
      <c r="C169" s="1">
        <v>0.51159945130669759</v>
      </c>
      <c r="D169" s="1">
        <f t="shared" si="14"/>
        <v>-1.1300444444444442</v>
      </c>
      <c r="E169" s="1">
        <f t="shared" si="15"/>
        <v>-0.61844499313774659</v>
      </c>
      <c r="F169" s="1">
        <f t="shared" si="16"/>
        <v>-1.6416438957511419</v>
      </c>
      <c r="G169" s="2" t="b">
        <f t="shared" si="17"/>
        <v>0</v>
      </c>
      <c r="H169" s="1" t="b">
        <f t="shared" si="18"/>
        <v>0</v>
      </c>
      <c r="I169" s="1" t="b">
        <f t="shared" si="19"/>
        <v>0</v>
      </c>
    </row>
    <row r="170" spans="1:9" x14ac:dyDescent="0.2">
      <c r="A170" s="1" t="s">
        <v>185</v>
      </c>
      <c r="B170" s="1">
        <v>4.8740444444444435</v>
      </c>
      <c r="C170" s="1">
        <v>0.20581564171978925</v>
      </c>
      <c r="D170" s="1">
        <f t="shared" si="14"/>
        <v>-0.12595555555555649</v>
      </c>
      <c r="E170" s="1">
        <f t="shared" si="15"/>
        <v>7.9860086164232763E-2</v>
      </c>
      <c r="F170" s="1">
        <f t="shared" si="16"/>
        <v>-0.33177119727534576</v>
      </c>
      <c r="G170" s="2" t="b">
        <f t="shared" si="17"/>
        <v>1</v>
      </c>
      <c r="H170" s="1" t="b">
        <f t="shared" si="18"/>
        <v>0</v>
      </c>
      <c r="I170" s="1" t="b">
        <f t="shared" si="19"/>
        <v>1</v>
      </c>
    </row>
    <row r="171" spans="1:9" x14ac:dyDescent="0.2">
      <c r="A171" s="1" t="s">
        <v>186</v>
      </c>
      <c r="B171" s="1">
        <v>3.046044444444445</v>
      </c>
      <c r="C171" s="1">
        <v>0.41857408608989799</v>
      </c>
      <c r="D171" s="1">
        <f t="shared" si="14"/>
        <v>-1.953955555555555</v>
      </c>
      <c r="E171" s="1">
        <f t="shared" si="15"/>
        <v>-1.5353814694656571</v>
      </c>
      <c r="F171" s="1">
        <f t="shared" si="16"/>
        <v>-2.3725296416454529</v>
      </c>
      <c r="G171" s="2" t="b">
        <f t="shared" si="17"/>
        <v>0</v>
      </c>
      <c r="H171" s="1" t="b">
        <f t="shared" si="18"/>
        <v>0</v>
      </c>
      <c r="I171" s="1" t="b">
        <f t="shared" si="19"/>
        <v>0</v>
      </c>
    </row>
    <row r="172" spans="1:9" x14ac:dyDescent="0.2">
      <c r="A172" s="1" t="s">
        <v>187</v>
      </c>
      <c r="B172" s="1">
        <v>4.1036888888888896</v>
      </c>
      <c r="C172" s="1">
        <v>0.40730218030354653</v>
      </c>
      <c r="D172" s="1">
        <f t="shared" si="14"/>
        <v>-0.89631111111111039</v>
      </c>
      <c r="E172" s="1">
        <f t="shared" si="15"/>
        <v>-0.48900893080756386</v>
      </c>
      <c r="F172" s="1">
        <f t="shared" si="16"/>
        <v>-1.303613291414657</v>
      </c>
      <c r="G172" s="2" t="b">
        <f t="shared" si="17"/>
        <v>0</v>
      </c>
      <c r="H172" s="1" t="b">
        <f t="shared" si="18"/>
        <v>0</v>
      </c>
      <c r="I172" s="1" t="b">
        <f t="shared" si="19"/>
        <v>0</v>
      </c>
    </row>
    <row r="173" spans="1:9" x14ac:dyDescent="0.2">
      <c r="A173" s="1" t="s">
        <v>188</v>
      </c>
      <c r="B173" s="1">
        <v>4.4168888888888898</v>
      </c>
      <c r="C173" s="1">
        <v>0.31588784300979811</v>
      </c>
      <c r="D173" s="1">
        <f t="shared" si="14"/>
        <v>-0.58311111111111025</v>
      </c>
      <c r="E173" s="1">
        <f t="shared" si="15"/>
        <v>-0.26722326810131214</v>
      </c>
      <c r="F173" s="1">
        <f t="shared" si="16"/>
        <v>-0.89899895412090836</v>
      </c>
      <c r="G173" s="2" t="b">
        <f t="shared" si="17"/>
        <v>0</v>
      </c>
      <c r="H173" s="1" t="b">
        <f t="shared" si="18"/>
        <v>0</v>
      </c>
      <c r="I173" s="1" t="b">
        <f t="shared" si="19"/>
        <v>0</v>
      </c>
    </row>
    <row r="174" spans="1:9" x14ac:dyDescent="0.2">
      <c r="A174" s="1" t="s">
        <v>189</v>
      </c>
      <c r="B174" s="1">
        <v>2.5612666666666657</v>
      </c>
      <c r="C174" s="1">
        <v>0.30751711338344445</v>
      </c>
      <c r="D174" s="1">
        <f t="shared" si="14"/>
        <v>-2.4387333333333343</v>
      </c>
      <c r="E174" s="1">
        <f t="shared" si="15"/>
        <v>-2.1312162199498896</v>
      </c>
      <c r="F174" s="1">
        <f t="shared" si="16"/>
        <v>-2.746250446716779</v>
      </c>
      <c r="G174" s="2" t="b">
        <f t="shared" si="17"/>
        <v>0</v>
      </c>
      <c r="H174" s="1" t="b">
        <f t="shared" si="18"/>
        <v>0</v>
      </c>
      <c r="I174" s="1" t="b">
        <f t="shared" si="19"/>
        <v>0</v>
      </c>
    </row>
    <row r="175" spans="1:9" x14ac:dyDescent="0.2">
      <c r="A175" s="1" t="s">
        <v>190</v>
      </c>
      <c r="B175" s="1">
        <v>3.2773777777777768</v>
      </c>
      <c r="C175" s="1">
        <v>0.40821242065009267</v>
      </c>
      <c r="D175" s="1">
        <f t="shared" si="14"/>
        <v>-1.7226222222222232</v>
      </c>
      <c r="E175" s="1">
        <f t="shared" si="15"/>
        <v>-1.3144098015721304</v>
      </c>
      <c r="F175" s="1">
        <f t="shared" si="16"/>
        <v>-2.1308346428723159</v>
      </c>
      <c r="G175" s="2" t="b">
        <f t="shared" si="17"/>
        <v>0</v>
      </c>
      <c r="H175" s="1" t="b">
        <f t="shared" si="18"/>
        <v>0</v>
      </c>
      <c r="I175" s="1" t="b">
        <f t="shared" si="19"/>
        <v>0</v>
      </c>
    </row>
    <row r="176" spans="1:9" x14ac:dyDescent="0.2">
      <c r="A176" s="1" t="s">
        <v>191</v>
      </c>
      <c r="B176" s="1">
        <v>4.9098444444444436</v>
      </c>
      <c r="C176" s="1">
        <v>9.8495264220877454E-2</v>
      </c>
      <c r="D176" s="1">
        <f t="shared" si="14"/>
        <v>-9.0155555555556433E-2</v>
      </c>
      <c r="E176" s="1">
        <f t="shared" si="15"/>
        <v>8.3397086653210217E-3</v>
      </c>
      <c r="F176" s="1">
        <f t="shared" si="16"/>
        <v>-0.18865081977643389</v>
      </c>
      <c r="G176" s="2" t="b">
        <f t="shared" si="17"/>
        <v>1</v>
      </c>
      <c r="H176" s="1" t="b">
        <f t="shared" si="18"/>
        <v>0</v>
      </c>
      <c r="I176" s="1" t="b">
        <f t="shared" si="19"/>
        <v>1</v>
      </c>
    </row>
    <row r="177" spans="1:9" x14ac:dyDescent="0.2">
      <c r="A177" s="1" t="s">
        <v>192</v>
      </c>
      <c r="B177" s="1">
        <v>2.235844444444445</v>
      </c>
      <c r="C177" s="1">
        <v>0.3811779639770026</v>
      </c>
      <c r="D177" s="1">
        <f t="shared" si="14"/>
        <v>-2.764155555555555</v>
      </c>
      <c r="E177" s="1">
        <f t="shared" si="15"/>
        <v>-2.3829775915785523</v>
      </c>
      <c r="F177" s="1">
        <f t="shared" si="16"/>
        <v>-3.1453335195325578</v>
      </c>
      <c r="G177" s="2" t="b">
        <f t="shared" si="17"/>
        <v>0</v>
      </c>
      <c r="H177" s="1" t="b">
        <f t="shared" si="18"/>
        <v>0</v>
      </c>
      <c r="I177" s="1" t="b">
        <f t="shared" si="19"/>
        <v>0</v>
      </c>
    </row>
    <row r="178" spans="1:9" x14ac:dyDescent="0.2">
      <c r="A178" s="1" t="s">
        <v>193</v>
      </c>
      <c r="B178" s="1">
        <v>3.0641555555555562</v>
      </c>
      <c r="C178" s="1">
        <v>0.35958134469230402</v>
      </c>
      <c r="D178" s="1">
        <f t="shared" si="14"/>
        <v>-1.9358444444444438</v>
      </c>
      <c r="E178" s="1">
        <f t="shared" si="15"/>
        <v>-1.5762630997521399</v>
      </c>
      <c r="F178" s="1">
        <f t="shared" si="16"/>
        <v>-2.2954257891367478</v>
      </c>
      <c r="G178" s="2" t="b">
        <f t="shared" si="17"/>
        <v>0</v>
      </c>
      <c r="H178" s="1" t="b">
        <f t="shared" si="18"/>
        <v>0</v>
      </c>
      <c r="I178" s="1" t="b">
        <f t="shared" si="19"/>
        <v>0</v>
      </c>
    </row>
    <row r="179" spans="1:9" x14ac:dyDescent="0.2">
      <c r="A179" s="1" t="s">
        <v>194</v>
      </c>
      <c r="B179" s="1">
        <v>4.8868666666666662</v>
      </c>
      <c r="C179" s="1">
        <v>0.32718667044584443</v>
      </c>
      <c r="D179" s="1">
        <f t="shared" si="14"/>
        <v>-0.11313333333333375</v>
      </c>
      <c r="E179" s="1">
        <f t="shared" si="15"/>
        <v>0.21405333711251068</v>
      </c>
      <c r="F179" s="1">
        <f t="shared" si="16"/>
        <v>-0.44032000377917818</v>
      </c>
      <c r="G179" s="2" t="b">
        <f t="shared" si="17"/>
        <v>1</v>
      </c>
      <c r="H179" s="1" t="b">
        <f t="shared" si="18"/>
        <v>0</v>
      </c>
      <c r="I179" s="1" t="b">
        <f t="shared" si="19"/>
        <v>1</v>
      </c>
    </row>
    <row r="180" spans="1:9" x14ac:dyDescent="0.2">
      <c r="A180" s="1" t="s">
        <v>195</v>
      </c>
      <c r="B180" s="1">
        <v>3.0173333333333332</v>
      </c>
      <c r="C180" s="1">
        <v>0.34908070085240611</v>
      </c>
      <c r="D180" s="1">
        <f t="shared" si="14"/>
        <v>-1.9826666666666668</v>
      </c>
      <c r="E180" s="1">
        <f t="shared" si="15"/>
        <v>-1.6335859658142606</v>
      </c>
      <c r="F180" s="1">
        <f t="shared" si="16"/>
        <v>-2.331747367519073</v>
      </c>
      <c r="G180" s="2" t="b">
        <f t="shared" si="17"/>
        <v>0</v>
      </c>
      <c r="H180" s="1" t="b">
        <f t="shared" si="18"/>
        <v>0</v>
      </c>
      <c r="I180" s="1" t="b">
        <f t="shared" si="19"/>
        <v>0</v>
      </c>
    </row>
    <row r="181" spans="1:9" x14ac:dyDescent="0.2">
      <c r="A181" s="1" t="s">
        <v>196</v>
      </c>
      <c r="B181" s="1">
        <v>3.5226444444444436</v>
      </c>
      <c r="C181" s="1">
        <v>0.33950535370939106</v>
      </c>
      <c r="D181" s="1">
        <f t="shared" si="14"/>
        <v>-1.4773555555555564</v>
      </c>
      <c r="E181" s="1">
        <f t="shared" si="15"/>
        <v>-1.1378502018461654</v>
      </c>
      <c r="F181" s="1">
        <f t="shared" si="16"/>
        <v>-1.8168609092649475</v>
      </c>
      <c r="G181" s="2" t="b">
        <f t="shared" si="17"/>
        <v>0</v>
      </c>
      <c r="H181" s="1" t="b">
        <f t="shared" si="18"/>
        <v>0</v>
      </c>
      <c r="I181" s="1" t="b">
        <f t="shared" si="19"/>
        <v>0</v>
      </c>
    </row>
    <row r="182" spans="1:9" x14ac:dyDescent="0.2">
      <c r="A182" s="1" t="s">
        <v>197</v>
      </c>
      <c r="B182" s="1">
        <v>4.7217777777777759</v>
      </c>
      <c r="C182" s="1">
        <v>0.26553703022831321</v>
      </c>
      <c r="D182" s="1">
        <f t="shared" si="14"/>
        <v>-0.27822222222222415</v>
      </c>
      <c r="E182" s="1">
        <f t="shared" si="15"/>
        <v>-1.2685191993910938E-2</v>
      </c>
      <c r="F182" s="1">
        <f t="shared" si="16"/>
        <v>-0.54375925245053736</v>
      </c>
      <c r="G182" s="2" t="b">
        <f t="shared" si="17"/>
        <v>0</v>
      </c>
      <c r="H182" s="1" t="b">
        <f t="shared" si="18"/>
        <v>0</v>
      </c>
      <c r="I182" s="1" t="b">
        <f t="shared" si="19"/>
        <v>0</v>
      </c>
    </row>
    <row r="183" spans="1:9" x14ac:dyDescent="0.2">
      <c r="A183" s="1" t="s">
        <v>198</v>
      </c>
      <c r="B183" s="1">
        <v>2.9050000000000002</v>
      </c>
      <c r="C183" s="1">
        <v>0.4384746822839678</v>
      </c>
      <c r="D183" s="1">
        <f t="shared" si="14"/>
        <v>-2.0949999999999998</v>
      </c>
      <c r="E183" s="1">
        <f t="shared" si="15"/>
        <v>-1.656525317716032</v>
      </c>
      <c r="F183" s="1">
        <f t="shared" si="16"/>
        <v>-2.5334746822839675</v>
      </c>
      <c r="G183" s="2" t="b">
        <f t="shared" si="17"/>
        <v>0</v>
      </c>
      <c r="H183" s="1" t="b">
        <f t="shared" si="18"/>
        <v>0</v>
      </c>
      <c r="I183" s="1" t="b">
        <f t="shared" si="19"/>
        <v>0</v>
      </c>
    </row>
    <row r="184" spans="1:9" x14ac:dyDescent="0.2">
      <c r="A184" s="1" t="s">
        <v>199</v>
      </c>
      <c r="B184" s="1">
        <v>3.7345333333333337</v>
      </c>
      <c r="C184" s="1">
        <v>0.29080543201191195</v>
      </c>
      <c r="D184" s="1">
        <f t="shared" si="14"/>
        <v>-1.2654666666666663</v>
      </c>
      <c r="E184" s="1">
        <f t="shared" si="15"/>
        <v>-0.97466123465475429</v>
      </c>
      <c r="F184" s="1">
        <f t="shared" si="16"/>
        <v>-1.5562720986785783</v>
      </c>
      <c r="G184" s="2" t="b">
        <f t="shared" si="17"/>
        <v>0</v>
      </c>
      <c r="H184" s="1" t="b">
        <f t="shared" si="18"/>
        <v>0</v>
      </c>
      <c r="I184" s="1" t="b">
        <f t="shared" si="19"/>
        <v>0</v>
      </c>
    </row>
    <row r="185" spans="1:9" x14ac:dyDescent="0.2">
      <c r="A185" s="1" t="s">
        <v>200</v>
      </c>
      <c r="B185" s="1">
        <v>5.0518666666666663</v>
      </c>
      <c r="C185" s="1">
        <v>0.18955390965008878</v>
      </c>
      <c r="D185" s="1">
        <f t="shared" si="14"/>
        <v>5.1866666666666283E-2</v>
      </c>
      <c r="E185" s="1">
        <f t="shared" si="15"/>
        <v>0.24142057631675506</v>
      </c>
      <c r="F185" s="1">
        <f t="shared" si="16"/>
        <v>-0.1376872429834225</v>
      </c>
      <c r="G185" s="2" t="b">
        <f t="shared" si="17"/>
        <v>1</v>
      </c>
      <c r="H185" s="1" t="b">
        <f t="shared" si="18"/>
        <v>0</v>
      </c>
      <c r="I185" s="1" t="b">
        <f t="shared" si="19"/>
        <v>1</v>
      </c>
    </row>
    <row r="186" spans="1:9" x14ac:dyDescent="0.2">
      <c r="A186" s="1" t="s">
        <v>201</v>
      </c>
      <c r="B186" s="1">
        <v>3.0963555555555562</v>
      </c>
      <c r="C186" s="1">
        <v>0.48507432178628518</v>
      </c>
      <c r="D186" s="1">
        <f t="shared" si="14"/>
        <v>-1.9036444444444438</v>
      </c>
      <c r="E186" s="1">
        <f t="shared" si="15"/>
        <v>-1.4185701226581586</v>
      </c>
      <c r="F186" s="1">
        <f t="shared" si="16"/>
        <v>-2.388718766230729</v>
      </c>
      <c r="G186" s="2" t="b">
        <f t="shared" si="17"/>
        <v>0</v>
      </c>
      <c r="H186" s="1" t="b">
        <f t="shared" si="18"/>
        <v>0</v>
      </c>
      <c r="I186" s="1" t="b">
        <f t="shared" si="19"/>
        <v>0</v>
      </c>
    </row>
    <row r="187" spans="1:9" x14ac:dyDescent="0.2">
      <c r="A187" s="1" t="s">
        <v>202</v>
      </c>
      <c r="B187" s="1">
        <v>4.4016222222222225</v>
      </c>
      <c r="C187" s="1">
        <v>0.27603298702122303</v>
      </c>
      <c r="D187" s="1">
        <f t="shared" si="14"/>
        <v>-0.59837777777777745</v>
      </c>
      <c r="E187" s="1">
        <f t="shared" si="15"/>
        <v>-0.32234479075655442</v>
      </c>
      <c r="F187" s="1">
        <f t="shared" si="16"/>
        <v>-0.87441076479900048</v>
      </c>
      <c r="G187" s="2" t="b">
        <f t="shared" si="17"/>
        <v>0</v>
      </c>
      <c r="H187" s="1" t="b">
        <f t="shared" si="18"/>
        <v>0</v>
      </c>
      <c r="I187" s="1" t="b">
        <f t="shared" si="19"/>
        <v>0</v>
      </c>
    </row>
    <row r="188" spans="1:9" x14ac:dyDescent="0.2">
      <c r="A188" s="1" t="s">
        <v>203</v>
      </c>
      <c r="B188" s="1">
        <v>4.9106888888888882</v>
      </c>
      <c r="C188" s="1">
        <v>0.23543096850580039</v>
      </c>
      <c r="D188" s="1">
        <f t="shared" si="14"/>
        <v>-8.9311111111111785E-2</v>
      </c>
      <c r="E188" s="1">
        <f t="shared" si="15"/>
        <v>0.14611985739468861</v>
      </c>
      <c r="F188" s="1">
        <f t="shared" si="16"/>
        <v>-0.32474207961691215</v>
      </c>
      <c r="G188" s="2" t="b">
        <f t="shared" si="17"/>
        <v>1</v>
      </c>
      <c r="H188" s="1" t="b">
        <f t="shared" si="18"/>
        <v>0</v>
      </c>
      <c r="I188" s="1" t="b">
        <f t="shared" si="19"/>
        <v>1</v>
      </c>
    </row>
    <row r="189" spans="1:9" x14ac:dyDescent="0.2">
      <c r="A189" s="1" t="s">
        <v>204</v>
      </c>
      <c r="B189" s="1">
        <v>2.6871777777777783</v>
      </c>
      <c r="C189" s="1">
        <v>0.39750891800305849</v>
      </c>
      <c r="D189" s="1">
        <f t="shared" si="14"/>
        <v>-2.3128222222222217</v>
      </c>
      <c r="E189" s="1">
        <f t="shared" si="15"/>
        <v>-1.9153133042191632</v>
      </c>
      <c r="F189" s="1">
        <f t="shared" si="16"/>
        <v>-2.7103311402252803</v>
      </c>
      <c r="G189" s="2" t="b">
        <f t="shared" si="17"/>
        <v>0</v>
      </c>
      <c r="H189" s="1" t="b">
        <f t="shared" si="18"/>
        <v>0</v>
      </c>
      <c r="I189" s="1" t="b">
        <f t="shared" si="19"/>
        <v>0</v>
      </c>
    </row>
    <row r="190" spans="1:9" x14ac:dyDescent="0.2">
      <c r="A190" s="1" t="s">
        <v>205</v>
      </c>
      <c r="B190" s="1">
        <v>3.0276000000000001</v>
      </c>
      <c r="C190" s="1">
        <v>0.29374376117276285</v>
      </c>
      <c r="D190" s="1">
        <f t="shared" si="14"/>
        <v>-1.9723999999999999</v>
      </c>
      <c r="E190" s="1">
        <f t="shared" si="15"/>
        <v>-1.678656238827237</v>
      </c>
      <c r="F190" s="1">
        <f t="shared" si="16"/>
        <v>-2.2661437611727626</v>
      </c>
      <c r="G190" s="2" t="b">
        <f t="shared" si="17"/>
        <v>0</v>
      </c>
      <c r="H190" s="1" t="b">
        <f t="shared" si="18"/>
        <v>0</v>
      </c>
      <c r="I190" s="1" t="b">
        <f t="shared" si="19"/>
        <v>0</v>
      </c>
    </row>
    <row r="191" spans="1:9" x14ac:dyDescent="0.2">
      <c r="A191" s="1" t="s">
        <v>206</v>
      </c>
      <c r="B191" s="1">
        <v>5.0501777777777779</v>
      </c>
      <c r="C191" s="1">
        <v>0.10782477904689282</v>
      </c>
      <c r="D191" s="1">
        <f t="shared" si="14"/>
        <v>5.0177777777777877E-2</v>
      </c>
      <c r="E191" s="1">
        <f t="shared" si="15"/>
        <v>0.15800255682467068</v>
      </c>
      <c r="F191" s="1">
        <f t="shared" si="16"/>
        <v>-5.7647001269114942E-2</v>
      </c>
      <c r="G191" s="2" t="b">
        <f t="shared" si="17"/>
        <v>1</v>
      </c>
      <c r="H191" s="1" t="b">
        <f t="shared" si="18"/>
        <v>0</v>
      </c>
      <c r="I191" s="1" t="b">
        <f t="shared" si="19"/>
        <v>1</v>
      </c>
    </row>
    <row r="192" spans="1:9" x14ac:dyDescent="0.2">
      <c r="A192" s="1" t="s">
        <v>207</v>
      </c>
      <c r="B192" s="1">
        <v>2.529177777777778</v>
      </c>
      <c r="C192" s="1">
        <v>0.36035578811069224</v>
      </c>
      <c r="D192" s="1">
        <f t="shared" si="14"/>
        <v>-2.470822222222222</v>
      </c>
      <c r="E192" s="1">
        <f t="shared" si="15"/>
        <v>-2.1104664341115296</v>
      </c>
      <c r="F192" s="1">
        <f t="shared" si="16"/>
        <v>-2.8311780103329145</v>
      </c>
      <c r="G192" s="2" t="b">
        <f t="shared" si="17"/>
        <v>0</v>
      </c>
      <c r="H192" s="1" t="b">
        <f t="shared" si="18"/>
        <v>0</v>
      </c>
      <c r="I192" s="1" t="b">
        <f t="shared" si="19"/>
        <v>0</v>
      </c>
    </row>
    <row r="193" spans="1:9" x14ac:dyDescent="0.2">
      <c r="A193" s="1" t="s">
        <v>208</v>
      </c>
      <c r="B193" s="1">
        <v>3.1217777777777767</v>
      </c>
      <c r="C193" s="1">
        <v>0.38390075551843145</v>
      </c>
      <c r="D193" s="1">
        <f t="shared" si="14"/>
        <v>-1.8782222222222233</v>
      </c>
      <c r="E193" s="1">
        <f t="shared" si="15"/>
        <v>-1.4943214667037918</v>
      </c>
      <c r="F193" s="1">
        <f t="shared" si="16"/>
        <v>-2.2621229777406549</v>
      </c>
      <c r="G193" s="2" t="b">
        <f t="shared" si="17"/>
        <v>0</v>
      </c>
      <c r="H193" s="1" t="b">
        <f t="shared" si="18"/>
        <v>0</v>
      </c>
      <c r="I193" s="1" t="b">
        <f t="shared" si="19"/>
        <v>0</v>
      </c>
    </row>
    <row r="194" spans="1:9" x14ac:dyDescent="0.2">
      <c r="A194" s="1" t="s">
        <v>209</v>
      </c>
      <c r="B194" s="1">
        <v>5.0218222222222231</v>
      </c>
      <c r="C194" s="1">
        <v>0.11379831098871282</v>
      </c>
      <c r="D194" s="1">
        <f t="shared" si="14"/>
        <v>2.1822222222223076E-2</v>
      </c>
      <c r="E194" s="1">
        <f t="shared" si="15"/>
        <v>0.1356205332109359</v>
      </c>
      <c r="F194" s="1">
        <f t="shared" si="16"/>
        <v>-9.1976088766489744E-2</v>
      </c>
      <c r="G194" s="2" t="b">
        <f t="shared" si="17"/>
        <v>1</v>
      </c>
      <c r="H194" s="1" t="b">
        <f t="shared" si="18"/>
        <v>0</v>
      </c>
      <c r="I194" s="1" t="b">
        <f t="shared" si="19"/>
        <v>1</v>
      </c>
    </row>
    <row r="195" spans="1:9" x14ac:dyDescent="0.2">
      <c r="A195" s="1" t="s">
        <v>210</v>
      </c>
      <c r="B195" s="1">
        <v>2.9192666666666671</v>
      </c>
      <c r="C195" s="1">
        <v>0.36012883048894229</v>
      </c>
      <c r="D195" s="1">
        <f t="shared" ref="D195:D258" si="20">B195-5</f>
        <v>-2.0807333333333329</v>
      </c>
      <c r="E195" s="1">
        <f t="shared" ref="E195:E258" si="21">D195+C195</f>
        <v>-1.7206045028443906</v>
      </c>
      <c r="F195" s="1">
        <f t="shared" ref="F195:F258" si="22">D195-C195</f>
        <v>-2.4408621638222749</v>
      </c>
      <c r="G195" s="2" t="b">
        <f t="shared" ref="G195:G258" si="23">AND(E195 &lt;= $L$2, F195 &gt;= -$L$2, ISNUMBER(SEARCH("hq", A195)))</f>
        <v>0</v>
      </c>
      <c r="H195" s="1" t="b">
        <f t="shared" ref="H195:H258" si="24">AND(D195&gt;0, F195&gt;=-$L$2, E195&gt;$L$2, ISNUMBER(SEARCH("hq", A195)))</f>
        <v>0</v>
      </c>
      <c r="I195" s="1" t="b">
        <f t="shared" ref="I195:I258" si="25">AND(OR(G195=TRUE, H195=TRUE), ISNUMBER(SEARCH("hq", A195)))</f>
        <v>0</v>
      </c>
    </row>
    <row r="196" spans="1:9" x14ac:dyDescent="0.2">
      <c r="A196" s="1" t="s">
        <v>211</v>
      </c>
      <c r="B196" s="1">
        <v>3.4032888888888895</v>
      </c>
      <c r="C196" s="1">
        <v>0.30171452164422591</v>
      </c>
      <c r="D196" s="1">
        <f t="shared" si="20"/>
        <v>-1.5967111111111105</v>
      </c>
      <c r="E196" s="1">
        <f t="shared" si="21"/>
        <v>-1.2949965894668847</v>
      </c>
      <c r="F196" s="1">
        <f t="shared" si="22"/>
        <v>-1.8984256327553364</v>
      </c>
      <c r="G196" s="2" t="b">
        <f t="shared" si="23"/>
        <v>0</v>
      </c>
      <c r="H196" s="1" t="b">
        <f t="shared" si="24"/>
        <v>0</v>
      </c>
      <c r="I196" s="1" t="b">
        <f t="shared" si="25"/>
        <v>0</v>
      </c>
    </row>
    <row r="197" spans="1:9" x14ac:dyDescent="0.2">
      <c r="A197" s="1" t="s">
        <v>212</v>
      </c>
      <c r="B197" s="1">
        <v>4.9548000000000005</v>
      </c>
      <c r="C197" s="1">
        <v>0.20837109309484966</v>
      </c>
      <c r="D197" s="1">
        <f t="shared" si="20"/>
        <v>-4.5199999999999463E-2</v>
      </c>
      <c r="E197" s="1">
        <f t="shared" si="21"/>
        <v>0.1631710930948502</v>
      </c>
      <c r="F197" s="1">
        <f t="shared" si="22"/>
        <v>-0.25357109309484915</v>
      </c>
      <c r="G197" s="2" t="b">
        <f t="shared" si="23"/>
        <v>1</v>
      </c>
      <c r="H197" s="1" t="b">
        <f t="shared" si="24"/>
        <v>0</v>
      </c>
      <c r="I197" s="1" t="b">
        <f t="shared" si="25"/>
        <v>1</v>
      </c>
    </row>
    <row r="198" spans="1:9" x14ac:dyDescent="0.2">
      <c r="A198" s="1" t="s">
        <v>213</v>
      </c>
      <c r="B198" s="1">
        <v>3.2979111111111115</v>
      </c>
      <c r="C198" s="1">
        <v>0.39447272354994645</v>
      </c>
      <c r="D198" s="1">
        <f t="shared" si="20"/>
        <v>-1.7020888888888885</v>
      </c>
      <c r="E198" s="1">
        <f t="shared" si="21"/>
        <v>-1.307616165338942</v>
      </c>
      <c r="F198" s="1">
        <f t="shared" si="22"/>
        <v>-2.0965616124388351</v>
      </c>
      <c r="G198" s="2" t="b">
        <f t="shared" si="23"/>
        <v>0</v>
      </c>
      <c r="H198" s="1" t="b">
        <f t="shared" si="24"/>
        <v>0</v>
      </c>
      <c r="I198" s="1" t="b">
        <f t="shared" si="25"/>
        <v>0</v>
      </c>
    </row>
    <row r="199" spans="1:9" x14ac:dyDescent="0.2">
      <c r="A199" s="1" t="s">
        <v>214</v>
      </c>
      <c r="B199" s="1">
        <v>3.6551333333333336</v>
      </c>
      <c r="C199" s="1">
        <v>0.3062686726710071</v>
      </c>
      <c r="D199" s="1">
        <f t="shared" si="20"/>
        <v>-1.3448666666666664</v>
      </c>
      <c r="E199" s="1">
        <f t="shared" si="21"/>
        <v>-1.0385979939956593</v>
      </c>
      <c r="F199" s="1">
        <f t="shared" si="22"/>
        <v>-1.6511353393376735</v>
      </c>
      <c r="G199" s="2" t="b">
        <f t="shared" si="23"/>
        <v>0</v>
      </c>
      <c r="H199" s="1" t="b">
        <f t="shared" si="24"/>
        <v>0</v>
      </c>
      <c r="I199" s="1" t="b">
        <f t="shared" si="25"/>
        <v>0</v>
      </c>
    </row>
    <row r="200" spans="1:9" x14ac:dyDescent="0.2">
      <c r="A200" s="1" t="s">
        <v>215</v>
      </c>
      <c r="B200" s="1">
        <v>4.8502222222222242</v>
      </c>
      <c r="C200" s="1">
        <v>0.24506567069905469</v>
      </c>
      <c r="D200" s="1">
        <f t="shared" si="20"/>
        <v>-0.14977777777777579</v>
      </c>
      <c r="E200" s="1">
        <f t="shared" si="21"/>
        <v>9.5287892921278899E-2</v>
      </c>
      <c r="F200" s="1">
        <f t="shared" si="22"/>
        <v>-0.39484344847683051</v>
      </c>
      <c r="G200" s="2" t="b">
        <f t="shared" si="23"/>
        <v>1</v>
      </c>
      <c r="H200" s="1" t="b">
        <f t="shared" si="24"/>
        <v>0</v>
      </c>
      <c r="I200" s="1" t="b">
        <f t="shared" si="25"/>
        <v>1</v>
      </c>
    </row>
    <row r="201" spans="1:9" x14ac:dyDescent="0.2">
      <c r="A201" s="1" t="s">
        <v>216</v>
      </c>
      <c r="B201" s="1">
        <v>2.9782222222222221</v>
      </c>
      <c r="C201" s="1">
        <v>0.3701810594817716</v>
      </c>
      <c r="D201" s="1">
        <f t="shared" si="20"/>
        <v>-2.0217777777777779</v>
      </c>
      <c r="E201" s="1">
        <f t="shared" si="21"/>
        <v>-1.6515967182960063</v>
      </c>
      <c r="F201" s="1">
        <f t="shared" si="22"/>
        <v>-2.3919588372595495</v>
      </c>
      <c r="G201" s="2" t="b">
        <f t="shared" si="23"/>
        <v>0</v>
      </c>
      <c r="H201" s="1" t="b">
        <f t="shared" si="24"/>
        <v>0</v>
      </c>
      <c r="I201" s="1" t="b">
        <f t="shared" si="25"/>
        <v>0</v>
      </c>
    </row>
    <row r="202" spans="1:9" x14ac:dyDescent="0.2">
      <c r="A202" s="1" t="s">
        <v>217</v>
      </c>
      <c r="B202" s="1">
        <v>3.5008000000000008</v>
      </c>
      <c r="C202" s="1">
        <v>0.39649649226804434</v>
      </c>
      <c r="D202" s="1">
        <f t="shared" si="20"/>
        <v>-1.4991999999999992</v>
      </c>
      <c r="E202" s="1">
        <f t="shared" si="21"/>
        <v>-1.1027035077319549</v>
      </c>
      <c r="F202" s="1">
        <f t="shared" si="22"/>
        <v>-1.8956964922680435</v>
      </c>
      <c r="G202" s="2" t="b">
        <f t="shared" si="23"/>
        <v>0</v>
      </c>
      <c r="H202" s="1" t="b">
        <f t="shared" si="24"/>
        <v>0</v>
      </c>
      <c r="I202" s="1" t="b">
        <f t="shared" si="25"/>
        <v>0</v>
      </c>
    </row>
    <row r="203" spans="1:9" x14ac:dyDescent="0.2">
      <c r="A203" s="1" t="s">
        <v>218</v>
      </c>
      <c r="B203" s="1">
        <v>4.4217111111111116</v>
      </c>
      <c r="C203" s="1">
        <v>0.25367691181211771</v>
      </c>
      <c r="D203" s="1">
        <f t="shared" si="20"/>
        <v>-0.57828888888888841</v>
      </c>
      <c r="E203" s="1">
        <f t="shared" si="21"/>
        <v>-0.3246119770767707</v>
      </c>
      <c r="F203" s="1">
        <f t="shared" si="22"/>
        <v>-0.83196580070100612</v>
      </c>
      <c r="G203" s="2" t="b">
        <f t="shared" si="23"/>
        <v>0</v>
      </c>
      <c r="H203" s="1" t="b">
        <f t="shared" si="24"/>
        <v>0</v>
      </c>
      <c r="I203" s="1" t="b">
        <f t="shared" si="25"/>
        <v>0</v>
      </c>
    </row>
    <row r="204" spans="1:9" x14ac:dyDescent="0.2">
      <c r="A204" s="1" t="s">
        <v>219</v>
      </c>
      <c r="B204" s="1">
        <v>3.4345999999999997</v>
      </c>
      <c r="C204" s="1">
        <v>0.471211398874962</v>
      </c>
      <c r="D204" s="1">
        <f t="shared" si="20"/>
        <v>-1.5654000000000003</v>
      </c>
      <c r="E204" s="1">
        <f t="shared" si="21"/>
        <v>-1.0941886011250384</v>
      </c>
      <c r="F204" s="1">
        <f t="shared" si="22"/>
        <v>-2.0366113988749621</v>
      </c>
      <c r="G204" s="2" t="b">
        <f t="shared" si="23"/>
        <v>0</v>
      </c>
      <c r="H204" s="1" t="b">
        <f t="shared" si="24"/>
        <v>0</v>
      </c>
      <c r="I204" s="1" t="b">
        <f t="shared" si="25"/>
        <v>0</v>
      </c>
    </row>
    <row r="205" spans="1:9" x14ac:dyDescent="0.2">
      <c r="A205" s="1" t="s">
        <v>220</v>
      </c>
      <c r="B205" s="1">
        <v>3.886822222222222</v>
      </c>
      <c r="C205" s="1">
        <v>0.37621559882305755</v>
      </c>
      <c r="D205" s="1">
        <f t="shared" si="20"/>
        <v>-1.113177777777778</v>
      </c>
      <c r="E205" s="1">
        <f t="shared" si="21"/>
        <v>-0.73696217895472049</v>
      </c>
      <c r="F205" s="1">
        <f t="shared" si="22"/>
        <v>-1.4893933766008356</v>
      </c>
      <c r="G205" s="2" t="b">
        <f t="shared" si="23"/>
        <v>0</v>
      </c>
      <c r="H205" s="1" t="b">
        <f t="shared" si="24"/>
        <v>0</v>
      </c>
      <c r="I205" s="1" t="b">
        <f t="shared" si="25"/>
        <v>0</v>
      </c>
    </row>
    <row r="206" spans="1:9" x14ac:dyDescent="0.2">
      <c r="A206" s="1" t="s">
        <v>221</v>
      </c>
      <c r="B206" s="1">
        <v>4.232111111111112</v>
      </c>
      <c r="C206" s="1">
        <v>0.31618727391855483</v>
      </c>
      <c r="D206" s="1">
        <f t="shared" si="20"/>
        <v>-0.76788888888888795</v>
      </c>
      <c r="E206" s="1">
        <f t="shared" si="21"/>
        <v>-0.45170161497033312</v>
      </c>
      <c r="F206" s="1">
        <f t="shared" si="22"/>
        <v>-1.0840761628074427</v>
      </c>
      <c r="G206" s="2" t="b">
        <f t="shared" si="23"/>
        <v>0</v>
      </c>
      <c r="H206" s="1" t="b">
        <f t="shared" si="24"/>
        <v>0</v>
      </c>
      <c r="I206" s="1" t="b">
        <f t="shared" si="25"/>
        <v>0</v>
      </c>
    </row>
    <row r="207" spans="1:9" x14ac:dyDescent="0.2">
      <c r="A207" s="1" t="s">
        <v>222</v>
      </c>
      <c r="B207" s="1">
        <v>3.5197111111111123</v>
      </c>
      <c r="C207" s="1">
        <v>0.40944627260469635</v>
      </c>
      <c r="D207" s="1">
        <f t="shared" si="20"/>
        <v>-1.4802888888888877</v>
      </c>
      <c r="E207" s="1">
        <f t="shared" si="21"/>
        <v>-1.0708426162841913</v>
      </c>
      <c r="F207" s="1">
        <f t="shared" si="22"/>
        <v>-1.889735161493584</v>
      </c>
      <c r="G207" s="2" t="b">
        <f t="shared" si="23"/>
        <v>0</v>
      </c>
      <c r="H207" s="1" t="b">
        <f t="shared" si="24"/>
        <v>0</v>
      </c>
      <c r="I207" s="1" t="b">
        <f t="shared" si="25"/>
        <v>0</v>
      </c>
    </row>
    <row r="208" spans="1:9" x14ac:dyDescent="0.2">
      <c r="A208" s="1" t="s">
        <v>223</v>
      </c>
      <c r="B208" s="1">
        <v>4.3564000000000007</v>
      </c>
      <c r="C208" s="1">
        <v>0.53385094212959205</v>
      </c>
      <c r="D208" s="1">
        <f t="shared" si="20"/>
        <v>-0.64359999999999928</v>
      </c>
      <c r="E208" s="1">
        <f t="shared" si="21"/>
        <v>-0.10974905787040723</v>
      </c>
      <c r="F208" s="1">
        <f t="shared" si="22"/>
        <v>-1.1774509421295913</v>
      </c>
      <c r="G208" s="2" t="b">
        <f t="shared" si="23"/>
        <v>0</v>
      </c>
      <c r="H208" s="1" t="b">
        <f t="shared" si="24"/>
        <v>0</v>
      </c>
      <c r="I208" s="1" t="b">
        <f t="shared" si="25"/>
        <v>0</v>
      </c>
    </row>
    <row r="209" spans="1:9" x14ac:dyDescent="0.2">
      <c r="A209" s="1" t="s">
        <v>224</v>
      </c>
      <c r="B209" s="1">
        <v>4.7214444444444457</v>
      </c>
      <c r="C209" s="1">
        <v>0.28651663246496845</v>
      </c>
      <c r="D209" s="1">
        <f t="shared" si="20"/>
        <v>-0.27855555555555434</v>
      </c>
      <c r="E209" s="1">
        <f t="shared" si="21"/>
        <v>7.9610769094141109E-3</v>
      </c>
      <c r="F209" s="1">
        <f t="shared" si="22"/>
        <v>-0.56507218802052273</v>
      </c>
      <c r="G209" s="2" t="b">
        <f t="shared" si="23"/>
        <v>0</v>
      </c>
      <c r="H209" s="1" t="b">
        <f t="shared" si="24"/>
        <v>0</v>
      </c>
      <c r="I209" s="1" t="b">
        <f t="shared" si="25"/>
        <v>0</v>
      </c>
    </row>
    <row r="210" spans="1:9" x14ac:dyDescent="0.2">
      <c r="A210" s="1" t="s">
        <v>225</v>
      </c>
      <c r="B210" s="1">
        <v>2.9856222222222231</v>
      </c>
      <c r="C210" s="1">
        <v>0.39912390964104327</v>
      </c>
      <c r="D210" s="1">
        <f t="shared" si="20"/>
        <v>-2.0143777777777769</v>
      </c>
      <c r="E210" s="1">
        <f t="shared" si="21"/>
        <v>-1.6152538681367337</v>
      </c>
      <c r="F210" s="1">
        <f t="shared" si="22"/>
        <v>-2.4135016874188202</v>
      </c>
      <c r="G210" s="2" t="b">
        <f t="shared" si="23"/>
        <v>0</v>
      </c>
      <c r="H210" s="1" t="b">
        <f t="shared" si="24"/>
        <v>0</v>
      </c>
      <c r="I210" s="1" t="b">
        <f t="shared" si="25"/>
        <v>0</v>
      </c>
    </row>
    <row r="211" spans="1:9" x14ac:dyDescent="0.2">
      <c r="A211" s="1" t="s">
        <v>226</v>
      </c>
      <c r="B211" s="1">
        <v>3.4905111111111111</v>
      </c>
      <c r="C211" s="1">
        <v>0.41670493013356436</v>
      </c>
      <c r="D211" s="1">
        <f t="shared" si="20"/>
        <v>-1.5094888888888889</v>
      </c>
      <c r="E211" s="1">
        <f t="shared" si="21"/>
        <v>-1.0927839587553245</v>
      </c>
      <c r="F211" s="1">
        <f t="shared" si="22"/>
        <v>-1.9261938190224532</v>
      </c>
      <c r="G211" s="2" t="b">
        <f t="shared" si="23"/>
        <v>0</v>
      </c>
      <c r="H211" s="1" t="b">
        <f t="shared" si="24"/>
        <v>0</v>
      </c>
      <c r="I211" s="1" t="b">
        <f t="shared" si="25"/>
        <v>0</v>
      </c>
    </row>
    <row r="212" spans="1:9" x14ac:dyDescent="0.2">
      <c r="A212" s="1" t="s">
        <v>227</v>
      </c>
      <c r="B212" s="1">
        <v>4.9152222222222228</v>
      </c>
      <c r="C212" s="1">
        <v>0.18791719696763096</v>
      </c>
      <c r="D212" s="1">
        <f t="shared" si="20"/>
        <v>-8.4777777777777175E-2</v>
      </c>
      <c r="E212" s="1">
        <f t="shared" si="21"/>
        <v>0.10313941918985378</v>
      </c>
      <c r="F212" s="1">
        <f t="shared" si="22"/>
        <v>-0.27269497474540816</v>
      </c>
      <c r="G212" s="2" t="b">
        <f t="shared" si="23"/>
        <v>1</v>
      </c>
      <c r="H212" s="1" t="b">
        <f t="shared" si="24"/>
        <v>0</v>
      </c>
      <c r="I212" s="1" t="b">
        <f t="shared" si="25"/>
        <v>1</v>
      </c>
    </row>
    <row r="213" spans="1:9" x14ac:dyDescent="0.2">
      <c r="A213" s="1" t="s">
        <v>228</v>
      </c>
      <c r="B213" s="1">
        <v>3.2115111111111108</v>
      </c>
      <c r="C213" s="1">
        <v>0.47989964695433845</v>
      </c>
      <c r="D213" s="1">
        <f t="shared" si="20"/>
        <v>-1.7884888888888892</v>
      </c>
      <c r="E213" s="1">
        <f t="shared" si="21"/>
        <v>-1.3085892419345508</v>
      </c>
      <c r="F213" s="1">
        <f t="shared" si="22"/>
        <v>-2.2683885358432279</v>
      </c>
      <c r="G213" s="2" t="b">
        <f t="shared" si="23"/>
        <v>0</v>
      </c>
      <c r="H213" s="1" t="b">
        <f t="shared" si="24"/>
        <v>0</v>
      </c>
      <c r="I213" s="1" t="b">
        <f t="shared" si="25"/>
        <v>0</v>
      </c>
    </row>
    <row r="214" spans="1:9" x14ac:dyDescent="0.2">
      <c r="A214" s="1" t="s">
        <v>229</v>
      </c>
      <c r="B214" s="1">
        <v>4.7193111111111108</v>
      </c>
      <c r="C214" s="1">
        <v>0.44549670205018543</v>
      </c>
      <c r="D214" s="1">
        <f t="shared" si="20"/>
        <v>-0.28068888888888921</v>
      </c>
      <c r="E214" s="1">
        <f t="shared" si="21"/>
        <v>0.16480781316129622</v>
      </c>
      <c r="F214" s="1">
        <f t="shared" si="22"/>
        <v>-0.72618559093907464</v>
      </c>
      <c r="G214" s="2" t="b">
        <f t="shared" si="23"/>
        <v>0</v>
      </c>
      <c r="H214" s="1" t="b">
        <f t="shared" si="24"/>
        <v>0</v>
      </c>
      <c r="I214" s="1" t="b">
        <f t="shared" si="25"/>
        <v>0</v>
      </c>
    </row>
    <row r="215" spans="1:9" x14ac:dyDescent="0.2">
      <c r="A215" s="1" t="s">
        <v>230</v>
      </c>
      <c r="B215" s="1">
        <v>4.9617111111111107</v>
      </c>
      <c r="C215" s="1">
        <v>0.14815097080090961</v>
      </c>
      <c r="D215" s="1">
        <f t="shared" si="20"/>
        <v>-3.8288888888889261E-2</v>
      </c>
      <c r="E215" s="1">
        <f t="shared" si="21"/>
        <v>0.10986208191202035</v>
      </c>
      <c r="F215" s="1">
        <f t="shared" si="22"/>
        <v>-0.18643985968979887</v>
      </c>
      <c r="G215" s="2" t="b">
        <f t="shared" si="23"/>
        <v>1</v>
      </c>
      <c r="H215" s="1" t="b">
        <f t="shared" si="24"/>
        <v>0</v>
      </c>
      <c r="I215" s="1" t="b">
        <f t="shared" si="25"/>
        <v>1</v>
      </c>
    </row>
    <row r="216" spans="1:9" x14ac:dyDescent="0.2">
      <c r="A216" s="1" t="s">
        <v>231</v>
      </c>
      <c r="B216" s="1">
        <v>2.8785777777777781</v>
      </c>
      <c r="C216" s="1">
        <v>0.43274057835723589</v>
      </c>
      <c r="D216" s="1">
        <f t="shared" si="20"/>
        <v>-2.1214222222222219</v>
      </c>
      <c r="E216" s="1">
        <f t="shared" si="21"/>
        <v>-1.6886816438649861</v>
      </c>
      <c r="F216" s="1">
        <f t="shared" si="22"/>
        <v>-2.5541628005794577</v>
      </c>
      <c r="G216" s="2" t="b">
        <f t="shared" si="23"/>
        <v>0</v>
      </c>
      <c r="H216" s="1" t="b">
        <f t="shared" si="24"/>
        <v>0</v>
      </c>
      <c r="I216" s="1" t="b">
        <f t="shared" si="25"/>
        <v>0</v>
      </c>
    </row>
    <row r="217" spans="1:9" x14ac:dyDescent="0.2">
      <c r="A217" s="1" t="s">
        <v>232</v>
      </c>
      <c r="B217" s="1">
        <v>4.1070666666666664</v>
      </c>
      <c r="C217" s="1">
        <v>0.40290173736516599</v>
      </c>
      <c r="D217" s="1">
        <f t="shared" si="20"/>
        <v>-0.89293333333333358</v>
      </c>
      <c r="E217" s="1">
        <f t="shared" si="21"/>
        <v>-0.49003159596816759</v>
      </c>
      <c r="F217" s="1">
        <f t="shared" si="22"/>
        <v>-1.2958350706984996</v>
      </c>
      <c r="G217" s="2" t="b">
        <f t="shared" si="23"/>
        <v>0</v>
      </c>
      <c r="H217" s="1" t="b">
        <f t="shared" si="24"/>
        <v>0</v>
      </c>
      <c r="I217" s="1" t="b">
        <f t="shared" si="25"/>
        <v>0</v>
      </c>
    </row>
    <row r="218" spans="1:9" x14ac:dyDescent="0.2">
      <c r="A218" s="1" t="s">
        <v>233</v>
      </c>
      <c r="B218" s="1">
        <v>3.8695555555555554</v>
      </c>
      <c r="C218" s="1">
        <v>0.38926300576789818</v>
      </c>
      <c r="D218" s="1">
        <f t="shared" si="20"/>
        <v>-1.1304444444444446</v>
      </c>
      <c r="E218" s="1">
        <f t="shared" si="21"/>
        <v>-0.7411814386765464</v>
      </c>
      <c r="F218" s="1">
        <f t="shared" si="22"/>
        <v>-1.5197074502123429</v>
      </c>
      <c r="G218" s="2" t="b">
        <f t="shared" si="23"/>
        <v>0</v>
      </c>
      <c r="H218" s="1" t="b">
        <f t="shared" si="24"/>
        <v>0</v>
      </c>
      <c r="I218" s="1" t="b">
        <f t="shared" si="25"/>
        <v>0</v>
      </c>
    </row>
    <row r="219" spans="1:9" x14ac:dyDescent="0.2">
      <c r="A219" s="1" t="s">
        <v>234</v>
      </c>
      <c r="B219" s="1">
        <v>3.6040666666666676</v>
      </c>
      <c r="C219" s="1">
        <v>0.38887076288131495</v>
      </c>
      <c r="D219" s="1">
        <f t="shared" si="20"/>
        <v>-1.3959333333333324</v>
      </c>
      <c r="E219" s="1">
        <f t="shared" si="21"/>
        <v>-1.0070625704520175</v>
      </c>
      <c r="F219" s="1">
        <f t="shared" si="22"/>
        <v>-1.7848040962146472</v>
      </c>
      <c r="G219" s="2" t="b">
        <f t="shared" si="23"/>
        <v>0</v>
      </c>
      <c r="H219" s="1" t="b">
        <f t="shared" si="24"/>
        <v>0</v>
      </c>
      <c r="I219" s="1" t="b">
        <f t="shared" si="25"/>
        <v>0</v>
      </c>
    </row>
    <row r="220" spans="1:9" x14ac:dyDescent="0.2">
      <c r="A220" s="1" t="s">
        <v>235</v>
      </c>
      <c r="B220" s="1">
        <v>4.1732666666666667</v>
      </c>
      <c r="C220" s="1">
        <v>0.28394318006212316</v>
      </c>
      <c r="D220" s="1">
        <f t="shared" si="20"/>
        <v>-0.82673333333333332</v>
      </c>
      <c r="E220" s="1">
        <f t="shared" si="21"/>
        <v>-0.54279015327121016</v>
      </c>
      <c r="F220" s="1">
        <f t="shared" si="22"/>
        <v>-1.1106765133954566</v>
      </c>
      <c r="G220" s="2" t="b">
        <f t="shared" si="23"/>
        <v>0</v>
      </c>
      <c r="H220" s="1" t="b">
        <f t="shared" si="24"/>
        <v>0</v>
      </c>
      <c r="I220" s="1" t="b">
        <f t="shared" si="25"/>
        <v>0</v>
      </c>
    </row>
    <row r="221" spans="1:9" x14ac:dyDescent="0.2">
      <c r="A221" s="1" t="s">
        <v>236</v>
      </c>
      <c r="B221" s="1">
        <v>4.8003777777777792</v>
      </c>
      <c r="C221" s="1">
        <v>0.20920718672490177</v>
      </c>
      <c r="D221" s="1">
        <f t="shared" si="20"/>
        <v>-0.19962222222222081</v>
      </c>
      <c r="E221" s="1">
        <f t="shared" si="21"/>
        <v>9.5849645026809538E-3</v>
      </c>
      <c r="F221" s="1">
        <f t="shared" si="22"/>
        <v>-0.40882940894712261</v>
      </c>
      <c r="G221" s="2" t="b">
        <f t="shared" si="23"/>
        <v>1</v>
      </c>
      <c r="H221" s="1" t="b">
        <f t="shared" si="24"/>
        <v>0</v>
      </c>
      <c r="I221" s="1" t="b">
        <f t="shared" si="25"/>
        <v>1</v>
      </c>
    </row>
    <row r="222" spans="1:9" x14ac:dyDescent="0.2">
      <c r="A222" s="1" t="s">
        <v>237</v>
      </c>
      <c r="B222" s="1">
        <v>2.4926000000000004</v>
      </c>
      <c r="C222" s="1">
        <v>0.31121222062669401</v>
      </c>
      <c r="D222" s="1">
        <f t="shared" si="20"/>
        <v>-2.5073999999999996</v>
      </c>
      <c r="E222" s="1">
        <f t="shared" si="21"/>
        <v>-2.1961877793733056</v>
      </c>
      <c r="F222" s="1">
        <f t="shared" si="22"/>
        <v>-2.8186122206266937</v>
      </c>
      <c r="G222" s="2" t="b">
        <f t="shared" si="23"/>
        <v>0</v>
      </c>
      <c r="H222" s="1" t="b">
        <f t="shared" si="24"/>
        <v>0</v>
      </c>
      <c r="I222" s="1" t="b">
        <f t="shared" si="25"/>
        <v>0</v>
      </c>
    </row>
    <row r="223" spans="1:9" x14ac:dyDescent="0.2">
      <c r="A223" s="1" t="s">
        <v>238</v>
      </c>
      <c r="B223" s="1">
        <v>3.0041111111111114</v>
      </c>
      <c r="C223" s="1">
        <v>0.39352751894223809</v>
      </c>
      <c r="D223" s="1">
        <f t="shared" si="20"/>
        <v>-1.9958888888888886</v>
      </c>
      <c r="E223" s="1">
        <f t="shared" si="21"/>
        <v>-1.6023613699466506</v>
      </c>
      <c r="F223" s="1">
        <f t="shared" si="22"/>
        <v>-2.3894164078311269</v>
      </c>
      <c r="G223" s="2" t="b">
        <f t="shared" si="23"/>
        <v>0</v>
      </c>
      <c r="H223" s="1" t="b">
        <f t="shared" si="24"/>
        <v>0</v>
      </c>
      <c r="I223" s="1" t="b">
        <f t="shared" si="25"/>
        <v>0</v>
      </c>
    </row>
    <row r="224" spans="1:9" x14ac:dyDescent="0.2">
      <c r="A224" s="1" t="s">
        <v>239</v>
      </c>
      <c r="B224" s="1">
        <v>5.1617777777777771</v>
      </c>
      <c r="C224" s="1">
        <v>0.16820067659773594</v>
      </c>
      <c r="D224" s="1">
        <f t="shared" si="20"/>
        <v>0.16177777777777713</v>
      </c>
      <c r="E224" s="1">
        <f t="shared" si="21"/>
        <v>0.3299784543755131</v>
      </c>
      <c r="F224" s="1">
        <f t="shared" si="22"/>
        <v>-6.4228988199588055E-3</v>
      </c>
      <c r="G224" s="2" t="b">
        <f t="shared" si="23"/>
        <v>1</v>
      </c>
      <c r="H224" s="1" t="b">
        <f t="shared" si="24"/>
        <v>0</v>
      </c>
      <c r="I224" s="1" t="b">
        <f t="shared" si="25"/>
        <v>1</v>
      </c>
    </row>
    <row r="225" spans="1:9" x14ac:dyDescent="0.2">
      <c r="A225" s="1" t="s">
        <v>240</v>
      </c>
      <c r="B225" s="1">
        <v>4.0699555555555555</v>
      </c>
      <c r="C225" s="1">
        <v>0.35734933021078619</v>
      </c>
      <c r="D225" s="1">
        <f t="shared" si="20"/>
        <v>-0.93004444444444445</v>
      </c>
      <c r="E225" s="1">
        <f t="shared" si="21"/>
        <v>-0.57269511423365826</v>
      </c>
      <c r="F225" s="1">
        <f t="shared" si="22"/>
        <v>-1.2873937746552306</v>
      </c>
      <c r="G225" s="2" t="b">
        <f t="shared" si="23"/>
        <v>0</v>
      </c>
      <c r="H225" s="1" t="b">
        <f t="shared" si="24"/>
        <v>0</v>
      </c>
      <c r="I225" s="1" t="b">
        <f t="shared" si="25"/>
        <v>0</v>
      </c>
    </row>
    <row r="226" spans="1:9" x14ac:dyDescent="0.2">
      <c r="A226" s="1" t="s">
        <v>241</v>
      </c>
      <c r="B226" s="1">
        <v>4.6971555555555558</v>
      </c>
      <c r="C226" s="1">
        <v>0.18962361252033111</v>
      </c>
      <c r="D226" s="1">
        <f t="shared" si="20"/>
        <v>-0.30284444444444425</v>
      </c>
      <c r="E226" s="1">
        <f t="shared" si="21"/>
        <v>-0.11322083192411314</v>
      </c>
      <c r="F226" s="1">
        <f t="shared" si="22"/>
        <v>-0.49246805696477536</v>
      </c>
      <c r="G226" s="2" t="b">
        <f t="shared" si="23"/>
        <v>0</v>
      </c>
      <c r="H226" s="1" t="b">
        <f t="shared" si="24"/>
        <v>0</v>
      </c>
      <c r="I226" s="1" t="b">
        <f t="shared" si="25"/>
        <v>0</v>
      </c>
    </row>
    <row r="227" spans="1:9" x14ac:dyDescent="0.2">
      <c r="A227" s="1" t="s">
        <v>242</v>
      </c>
      <c r="B227" s="1">
        <v>5.0608444444444434</v>
      </c>
      <c r="C227" s="1">
        <v>0.19431876895924369</v>
      </c>
      <c r="D227" s="1">
        <f t="shared" si="20"/>
        <v>6.0844444444443369E-2</v>
      </c>
      <c r="E227" s="1">
        <f t="shared" si="21"/>
        <v>0.25516321340368708</v>
      </c>
      <c r="F227" s="1">
        <f t="shared" si="22"/>
        <v>-0.13347432451480032</v>
      </c>
      <c r="G227" s="2" t="b">
        <f t="shared" si="23"/>
        <v>1</v>
      </c>
      <c r="H227" s="1" t="b">
        <f t="shared" si="24"/>
        <v>0</v>
      </c>
      <c r="I227" s="1" t="b">
        <f t="shared" si="25"/>
        <v>1</v>
      </c>
    </row>
    <row r="228" spans="1:9" x14ac:dyDescent="0.2">
      <c r="A228" s="1" t="s">
        <v>243</v>
      </c>
      <c r="B228" s="1">
        <v>3.4086888888888884</v>
      </c>
      <c r="C228" s="1">
        <v>0.39145947083227506</v>
      </c>
      <c r="D228" s="1">
        <f t="shared" si="20"/>
        <v>-1.5913111111111116</v>
      </c>
      <c r="E228" s="1">
        <f t="shared" si="21"/>
        <v>-1.1998516402788364</v>
      </c>
      <c r="F228" s="1">
        <f t="shared" si="22"/>
        <v>-1.9827705819433867</v>
      </c>
      <c r="G228" s="2" t="b">
        <f t="shared" si="23"/>
        <v>0</v>
      </c>
      <c r="H228" s="1" t="b">
        <f t="shared" si="24"/>
        <v>0</v>
      </c>
      <c r="I228" s="1" t="b">
        <f t="shared" si="25"/>
        <v>0</v>
      </c>
    </row>
    <row r="229" spans="1:9" x14ac:dyDescent="0.2">
      <c r="A229" s="1" t="s">
        <v>244</v>
      </c>
      <c r="B229" s="1">
        <v>4.5007999999999999</v>
      </c>
      <c r="C229" s="1">
        <v>0.28600512352867741</v>
      </c>
      <c r="D229" s="1">
        <f t="shared" si="20"/>
        <v>-0.49920000000000009</v>
      </c>
      <c r="E229" s="1">
        <f t="shared" si="21"/>
        <v>-0.21319487647132268</v>
      </c>
      <c r="F229" s="1">
        <f t="shared" si="22"/>
        <v>-0.78520512352867744</v>
      </c>
      <c r="G229" s="2" t="b">
        <f t="shared" si="23"/>
        <v>0</v>
      </c>
      <c r="H229" s="1" t="b">
        <f t="shared" si="24"/>
        <v>0</v>
      </c>
      <c r="I229" s="1" t="b">
        <f t="shared" si="25"/>
        <v>0</v>
      </c>
    </row>
    <row r="230" spans="1:9" x14ac:dyDescent="0.2">
      <c r="A230" s="1" t="s">
        <v>245</v>
      </c>
      <c r="B230" s="1">
        <v>4.7288222222222238</v>
      </c>
      <c r="C230" s="1">
        <v>0.18556229266185262</v>
      </c>
      <c r="D230" s="1">
        <f t="shared" si="20"/>
        <v>-0.27117777777777619</v>
      </c>
      <c r="E230" s="1">
        <f t="shared" si="21"/>
        <v>-8.5615485115923567E-2</v>
      </c>
      <c r="F230" s="1">
        <f t="shared" si="22"/>
        <v>-0.45674007043962883</v>
      </c>
      <c r="G230" s="2" t="b">
        <f t="shared" si="23"/>
        <v>1</v>
      </c>
      <c r="H230" s="1" t="b">
        <f t="shared" si="24"/>
        <v>0</v>
      </c>
      <c r="I230" s="1" t="b">
        <f t="shared" si="25"/>
        <v>1</v>
      </c>
    </row>
    <row r="231" spans="1:9" x14ac:dyDescent="0.2">
      <c r="A231" s="1" t="s">
        <v>246</v>
      </c>
      <c r="B231" s="1">
        <v>2.2749333333333333</v>
      </c>
      <c r="C231" s="1">
        <v>0.38387169835467033</v>
      </c>
      <c r="D231" s="1">
        <f t="shared" si="20"/>
        <v>-2.7250666666666667</v>
      </c>
      <c r="E231" s="1">
        <f t="shared" si="21"/>
        <v>-2.3411949683119966</v>
      </c>
      <c r="F231" s="1">
        <f t="shared" si="22"/>
        <v>-3.1089383650213369</v>
      </c>
      <c r="G231" s="2" t="b">
        <f t="shared" si="23"/>
        <v>0</v>
      </c>
      <c r="H231" s="1" t="b">
        <f t="shared" si="24"/>
        <v>0</v>
      </c>
      <c r="I231" s="1" t="b">
        <f t="shared" si="25"/>
        <v>0</v>
      </c>
    </row>
    <row r="232" spans="1:9" x14ac:dyDescent="0.2">
      <c r="A232" s="1" t="s">
        <v>247</v>
      </c>
      <c r="B232" s="1">
        <v>3.6539777777777789</v>
      </c>
      <c r="C232" s="1">
        <v>0.36652325108636102</v>
      </c>
      <c r="D232" s="1">
        <f t="shared" si="20"/>
        <v>-1.3460222222222211</v>
      </c>
      <c r="E232" s="1">
        <f t="shared" si="21"/>
        <v>-0.97949897113586015</v>
      </c>
      <c r="F232" s="1">
        <f t="shared" si="22"/>
        <v>-1.7125454733085821</v>
      </c>
      <c r="G232" s="2" t="b">
        <f t="shared" si="23"/>
        <v>0</v>
      </c>
      <c r="H232" s="1" t="b">
        <f t="shared" si="24"/>
        <v>0</v>
      </c>
      <c r="I232" s="1" t="b">
        <f t="shared" si="25"/>
        <v>0</v>
      </c>
    </row>
    <row r="233" spans="1:9" x14ac:dyDescent="0.2">
      <c r="A233" s="1" t="s">
        <v>248</v>
      </c>
      <c r="B233" s="1">
        <v>4.9708444444444426</v>
      </c>
      <c r="C233" s="1">
        <v>0.28141209052583921</v>
      </c>
      <c r="D233" s="1">
        <f t="shared" si="20"/>
        <v>-2.9155555555557378E-2</v>
      </c>
      <c r="E233" s="1">
        <f t="shared" si="21"/>
        <v>0.25225653497028183</v>
      </c>
      <c r="F233" s="1">
        <f t="shared" si="22"/>
        <v>-0.31056764608139659</v>
      </c>
      <c r="G233" s="2" t="b">
        <f t="shared" si="23"/>
        <v>1</v>
      </c>
      <c r="H233" s="1" t="b">
        <f t="shared" si="24"/>
        <v>0</v>
      </c>
      <c r="I233" s="1" t="b">
        <f t="shared" si="25"/>
        <v>1</v>
      </c>
    </row>
    <row r="234" spans="1:9" x14ac:dyDescent="0.2">
      <c r="A234" s="1" t="s">
        <v>249</v>
      </c>
      <c r="B234" s="1">
        <v>2.6027777777777774</v>
      </c>
      <c r="C234" s="1">
        <v>0.47091287092498546</v>
      </c>
      <c r="D234" s="1">
        <f t="shared" si="20"/>
        <v>-2.3972222222222226</v>
      </c>
      <c r="E234" s="1">
        <f t="shared" si="21"/>
        <v>-1.9263093512972371</v>
      </c>
      <c r="F234" s="1">
        <f t="shared" si="22"/>
        <v>-2.8681350931472078</v>
      </c>
      <c r="G234" s="2" t="b">
        <f t="shared" si="23"/>
        <v>0</v>
      </c>
      <c r="H234" s="1" t="b">
        <f t="shared" si="24"/>
        <v>0</v>
      </c>
      <c r="I234" s="1" t="b">
        <f t="shared" si="25"/>
        <v>0</v>
      </c>
    </row>
    <row r="235" spans="1:9" x14ac:dyDescent="0.2">
      <c r="A235" s="1" t="s">
        <v>250</v>
      </c>
      <c r="B235" s="1">
        <v>3.4593333333333338</v>
      </c>
      <c r="C235" s="1">
        <v>0.40569003480009785</v>
      </c>
      <c r="D235" s="1">
        <f t="shared" si="20"/>
        <v>-1.5406666666666662</v>
      </c>
      <c r="E235" s="1">
        <f t="shared" si="21"/>
        <v>-1.1349766318665684</v>
      </c>
      <c r="F235" s="1">
        <f t="shared" si="22"/>
        <v>-1.946356701466764</v>
      </c>
      <c r="G235" s="2" t="b">
        <f t="shared" si="23"/>
        <v>0</v>
      </c>
      <c r="H235" s="1" t="b">
        <f t="shared" si="24"/>
        <v>0</v>
      </c>
      <c r="I235" s="1" t="b">
        <f t="shared" si="25"/>
        <v>0</v>
      </c>
    </row>
    <row r="236" spans="1:9" x14ac:dyDescent="0.2">
      <c r="A236" s="1" t="s">
        <v>251</v>
      </c>
      <c r="B236" s="1">
        <v>4.4423777777777786</v>
      </c>
      <c r="C236" s="1">
        <v>0.29970398605838178</v>
      </c>
      <c r="D236" s="1">
        <f t="shared" si="20"/>
        <v>-0.55762222222222135</v>
      </c>
      <c r="E236" s="1">
        <f t="shared" si="21"/>
        <v>-0.25791823616383958</v>
      </c>
      <c r="F236" s="1">
        <f t="shared" si="22"/>
        <v>-0.85732620828060313</v>
      </c>
      <c r="G236" s="2" t="b">
        <f t="shared" si="23"/>
        <v>0</v>
      </c>
      <c r="H236" s="1" t="b">
        <f t="shared" si="24"/>
        <v>0</v>
      </c>
      <c r="I236" s="1" t="b">
        <f t="shared" si="25"/>
        <v>0</v>
      </c>
    </row>
    <row r="237" spans="1:9" x14ac:dyDescent="0.2">
      <c r="A237" s="1" t="s">
        <v>252</v>
      </c>
      <c r="B237" s="1">
        <v>3.273244444444444</v>
      </c>
      <c r="C237" s="1">
        <v>0.31243353867142981</v>
      </c>
      <c r="D237" s="1">
        <f t="shared" si="20"/>
        <v>-1.726755555555556</v>
      </c>
      <c r="E237" s="1">
        <f t="shared" si="21"/>
        <v>-1.4143220168841262</v>
      </c>
      <c r="F237" s="1">
        <f t="shared" si="22"/>
        <v>-2.0391890942269857</v>
      </c>
      <c r="G237" s="2" t="b">
        <f t="shared" si="23"/>
        <v>0</v>
      </c>
      <c r="H237" s="1" t="b">
        <f t="shared" si="24"/>
        <v>0</v>
      </c>
      <c r="I237" s="1" t="b">
        <f t="shared" si="25"/>
        <v>0</v>
      </c>
    </row>
    <row r="238" spans="1:9" x14ac:dyDescent="0.2">
      <c r="A238" s="1" t="s">
        <v>253</v>
      </c>
      <c r="B238" s="1">
        <v>4.0571111111111122</v>
      </c>
      <c r="C238" s="1">
        <v>0.39216815271592992</v>
      </c>
      <c r="D238" s="1">
        <f t="shared" si="20"/>
        <v>-0.94288888888888778</v>
      </c>
      <c r="E238" s="1">
        <f t="shared" si="21"/>
        <v>-0.5507207361729578</v>
      </c>
      <c r="F238" s="1">
        <f t="shared" si="22"/>
        <v>-1.3350570416048178</v>
      </c>
      <c r="G238" s="2" t="b">
        <f t="shared" si="23"/>
        <v>0</v>
      </c>
      <c r="H238" s="1" t="b">
        <f t="shared" si="24"/>
        <v>0</v>
      </c>
      <c r="I238" s="1" t="b">
        <f t="shared" si="25"/>
        <v>0</v>
      </c>
    </row>
    <row r="239" spans="1:9" x14ac:dyDescent="0.2">
      <c r="A239" s="1" t="s">
        <v>254</v>
      </c>
      <c r="B239" s="1">
        <v>4.9506222222222229</v>
      </c>
      <c r="C239" s="1">
        <v>0.31709425696230059</v>
      </c>
      <c r="D239" s="1">
        <f t="shared" si="20"/>
        <v>-4.9377777777777077E-2</v>
      </c>
      <c r="E239" s="1">
        <f t="shared" si="21"/>
        <v>0.26771647918452351</v>
      </c>
      <c r="F239" s="1">
        <f t="shared" si="22"/>
        <v>-0.36647203474007767</v>
      </c>
      <c r="G239" s="2" t="b">
        <f t="shared" si="23"/>
        <v>1</v>
      </c>
      <c r="H239" s="1" t="b">
        <f t="shared" si="24"/>
        <v>0</v>
      </c>
      <c r="I239" s="1" t="b">
        <f t="shared" si="25"/>
        <v>1</v>
      </c>
    </row>
    <row r="240" spans="1:9" x14ac:dyDescent="0.2">
      <c r="A240" s="1" t="s">
        <v>255</v>
      </c>
      <c r="B240" s="1">
        <v>3.3292444444444445</v>
      </c>
      <c r="C240" s="1">
        <v>0.43331799838634605</v>
      </c>
      <c r="D240" s="1">
        <f t="shared" si="20"/>
        <v>-1.6707555555555555</v>
      </c>
      <c r="E240" s="1">
        <f t="shared" si="21"/>
        <v>-1.2374375571692096</v>
      </c>
      <c r="F240" s="1">
        <f t="shared" si="22"/>
        <v>-2.1040735539419018</v>
      </c>
      <c r="G240" s="2" t="b">
        <f t="shared" si="23"/>
        <v>0</v>
      </c>
      <c r="H240" s="1" t="b">
        <f t="shared" si="24"/>
        <v>0</v>
      </c>
      <c r="I240" s="1" t="b">
        <f t="shared" si="25"/>
        <v>0</v>
      </c>
    </row>
    <row r="241" spans="1:9" x14ac:dyDescent="0.2">
      <c r="A241" s="1" t="s">
        <v>256</v>
      </c>
      <c r="B241" s="1">
        <v>3.9959111111111105</v>
      </c>
      <c r="C241" s="1">
        <v>0.5005421713785343</v>
      </c>
      <c r="D241" s="1">
        <f t="shared" si="20"/>
        <v>-1.0040888888888895</v>
      </c>
      <c r="E241" s="1">
        <f t="shared" si="21"/>
        <v>-0.50354671751035518</v>
      </c>
      <c r="F241" s="1">
        <f t="shared" si="22"/>
        <v>-1.5046310602674238</v>
      </c>
      <c r="G241" s="2" t="b">
        <f t="shared" si="23"/>
        <v>0</v>
      </c>
      <c r="H241" s="1" t="b">
        <f t="shared" si="24"/>
        <v>0</v>
      </c>
      <c r="I241" s="1" t="b">
        <f t="shared" si="25"/>
        <v>0</v>
      </c>
    </row>
    <row r="242" spans="1:9" x14ac:dyDescent="0.2">
      <c r="A242" s="1" t="s">
        <v>257</v>
      </c>
      <c r="B242" s="1">
        <v>5.0198</v>
      </c>
      <c r="C242" s="1">
        <v>0.1799133078427721</v>
      </c>
      <c r="D242" s="1">
        <f t="shared" si="20"/>
        <v>1.980000000000004E-2</v>
      </c>
      <c r="E242" s="1">
        <f t="shared" si="21"/>
        <v>0.19971330784277214</v>
      </c>
      <c r="F242" s="1">
        <f t="shared" si="22"/>
        <v>-0.16011330784277206</v>
      </c>
      <c r="G242" s="2" t="b">
        <f t="shared" si="23"/>
        <v>1</v>
      </c>
      <c r="H242" s="1" t="b">
        <f t="shared" si="24"/>
        <v>0</v>
      </c>
      <c r="I242" s="1" t="b">
        <f t="shared" si="25"/>
        <v>1</v>
      </c>
    </row>
    <row r="243" spans="1:9" x14ac:dyDescent="0.2">
      <c r="A243" s="1" t="s">
        <v>258</v>
      </c>
      <c r="B243" s="1">
        <v>2.4629111111111102</v>
      </c>
      <c r="C243" s="1">
        <v>0.36643437260272832</v>
      </c>
      <c r="D243" s="1">
        <f t="shared" si="20"/>
        <v>-2.5370888888888898</v>
      </c>
      <c r="E243" s="1">
        <f t="shared" si="21"/>
        <v>-2.1706545162861617</v>
      </c>
      <c r="F243" s="1">
        <f t="shared" si="22"/>
        <v>-2.903523261491618</v>
      </c>
      <c r="G243" s="2" t="b">
        <f t="shared" si="23"/>
        <v>0</v>
      </c>
      <c r="H243" s="1" t="b">
        <f t="shared" si="24"/>
        <v>0</v>
      </c>
      <c r="I243" s="1" t="b">
        <f t="shared" si="25"/>
        <v>0</v>
      </c>
    </row>
    <row r="244" spans="1:9" x14ac:dyDescent="0.2">
      <c r="A244" s="1" t="s">
        <v>259</v>
      </c>
      <c r="B244" s="1">
        <v>3.8069111111111118</v>
      </c>
      <c r="C244" s="1">
        <v>0.37796965813918659</v>
      </c>
      <c r="D244" s="1">
        <f t="shared" si="20"/>
        <v>-1.1930888888888882</v>
      </c>
      <c r="E244" s="1">
        <f t="shared" si="21"/>
        <v>-0.81511923074970161</v>
      </c>
      <c r="F244" s="1">
        <f t="shared" si="22"/>
        <v>-1.5710585470280747</v>
      </c>
      <c r="G244" s="2" t="b">
        <f t="shared" si="23"/>
        <v>0</v>
      </c>
      <c r="H244" s="1" t="b">
        <f t="shared" si="24"/>
        <v>0</v>
      </c>
      <c r="I244" s="1" t="b">
        <f t="shared" si="25"/>
        <v>0</v>
      </c>
    </row>
    <row r="245" spans="1:9" x14ac:dyDescent="0.2">
      <c r="A245" s="1" t="s">
        <v>260</v>
      </c>
      <c r="B245" s="1">
        <v>4.5897111111111109</v>
      </c>
      <c r="C245" s="1">
        <v>0.20723275646548905</v>
      </c>
      <c r="D245" s="1">
        <f t="shared" si="20"/>
        <v>-0.41028888888888915</v>
      </c>
      <c r="E245" s="1">
        <f t="shared" si="21"/>
        <v>-0.20305613242340009</v>
      </c>
      <c r="F245" s="1">
        <f t="shared" si="22"/>
        <v>-0.61752164535437815</v>
      </c>
      <c r="G245" s="2" t="b">
        <f t="shared" si="23"/>
        <v>0</v>
      </c>
      <c r="H245" s="1" t="b">
        <f t="shared" si="24"/>
        <v>0</v>
      </c>
      <c r="I245" s="1" t="b">
        <f t="shared" si="25"/>
        <v>0</v>
      </c>
    </row>
    <row r="246" spans="1:9" x14ac:dyDescent="0.2">
      <c r="A246" s="1" t="s">
        <v>261</v>
      </c>
      <c r="B246" s="1">
        <v>2.3567777777777774</v>
      </c>
      <c r="C246" s="1">
        <v>0.40273651021813406</v>
      </c>
      <c r="D246" s="1">
        <f t="shared" si="20"/>
        <v>-2.6432222222222226</v>
      </c>
      <c r="E246" s="1">
        <f t="shared" si="21"/>
        <v>-2.2404857120040886</v>
      </c>
      <c r="F246" s="1">
        <f t="shared" si="22"/>
        <v>-3.0459587324403565</v>
      </c>
      <c r="G246" s="2" t="b">
        <f t="shared" si="23"/>
        <v>0</v>
      </c>
      <c r="H246" s="1" t="b">
        <f t="shared" si="24"/>
        <v>0</v>
      </c>
      <c r="I246" s="1" t="b">
        <f t="shared" si="25"/>
        <v>0</v>
      </c>
    </row>
    <row r="247" spans="1:9" x14ac:dyDescent="0.2">
      <c r="A247" s="1" t="s">
        <v>262</v>
      </c>
      <c r="B247" s="1">
        <v>3.486444444444444</v>
      </c>
      <c r="C247" s="1">
        <v>0.4119369595696763</v>
      </c>
      <c r="D247" s="1">
        <f t="shared" si="20"/>
        <v>-1.513555555555556</v>
      </c>
      <c r="E247" s="1">
        <f t="shared" si="21"/>
        <v>-1.1016185959858797</v>
      </c>
      <c r="F247" s="1">
        <f t="shared" si="22"/>
        <v>-1.9254925151252322</v>
      </c>
      <c r="G247" s="2" t="b">
        <f t="shared" si="23"/>
        <v>0</v>
      </c>
      <c r="H247" s="1" t="b">
        <f t="shared" si="24"/>
        <v>0</v>
      </c>
      <c r="I247" s="1" t="b">
        <f t="shared" si="25"/>
        <v>0</v>
      </c>
    </row>
    <row r="248" spans="1:9" x14ac:dyDescent="0.2">
      <c r="A248" s="1" t="s">
        <v>263</v>
      </c>
      <c r="B248" s="1">
        <v>5.0674222222222216</v>
      </c>
      <c r="C248" s="1">
        <v>0.19909292620226174</v>
      </c>
      <c r="D248" s="1">
        <f t="shared" si="20"/>
        <v>6.7422222222221606E-2</v>
      </c>
      <c r="E248" s="1">
        <f t="shared" si="21"/>
        <v>0.26651514842448332</v>
      </c>
      <c r="F248" s="1">
        <f t="shared" si="22"/>
        <v>-0.13167070398004013</v>
      </c>
      <c r="G248" s="2" t="b">
        <f t="shared" si="23"/>
        <v>1</v>
      </c>
      <c r="H248" s="1" t="b">
        <f t="shared" si="24"/>
        <v>0</v>
      </c>
      <c r="I248" s="1" t="b">
        <f t="shared" si="25"/>
        <v>1</v>
      </c>
    </row>
    <row r="249" spans="1:9" x14ac:dyDescent="0.2">
      <c r="A249" s="1" t="s">
        <v>264</v>
      </c>
      <c r="B249" s="1">
        <v>2.1690888888888891</v>
      </c>
      <c r="C249" s="1">
        <v>0.24319889530240588</v>
      </c>
      <c r="D249" s="1">
        <f t="shared" si="20"/>
        <v>-2.8309111111111109</v>
      </c>
      <c r="E249" s="1">
        <f t="shared" si="21"/>
        <v>-2.5877122158087049</v>
      </c>
      <c r="F249" s="1">
        <f t="shared" si="22"/>
        <v>-3.0741100064135169</v>
      </c>
      <c r="G249" s="2" t="b">
        <f t="shared" si="23"/>
        <v>0</v>
      </c>
      <c r="H249" s="1" t="b">
        <f t="shared" si="24"/>
        <v>0</v>
      </c>
      <c r="I249" s="1" t="b">
        <f t="shared" si="25"/>
        <v>0</v>
      </c>
    </row>
    <row r="250" spans="1:9" x14ac:dyDescent="0.2">
      <c r="A250" s="1" t="s">
        <v>265</v>
      </c>
      <c r="B250" s="1">
        <v>4.6222000000000021</v>
      </c>
      <c r="C250" s="1">
        <v>0.25020146726131065</v>
      </c>
      <c r="D250" s="1">
        <f t="shared" si="20"/>
        <v>-0.37779999999999792</v>
      </c>
      <c r="E250" s="1">
        <f t="shared" si="21"/>
        <v>-0.12759853273868726</v>
      </c>
      <c r="F250" s="1">
        <f t="shared" si="22"/>
        <v>-0.62800146726130857</v>
      </c>
      <c r="G250" s="2" t="b">
        <f t="shared" si="23"/>
        <v>0</v>
      </c>
      <c r="H250" s="1" t="b">
        <f t="shared" si="24"/>
        <v>0</v>
      </c>
      <c r="I250" s="1" t="b">
        <f t="shared" si="25"/>
        <v>0</v>
      </c>
    </row>
    <row r="251" spans="1:9" x14ac:dyDescent="0.2">
      <c r="A251" s="1" t="s">
        <v>266</v>
      </c>
      <c r="B251" s="1">
        <v>4.817733333333333</v>
      </c>
      <c r="C251" s="1">
        <v>0.21560871093513623</v>
      </c>
      <c r="D251" s="1">
        <f t="shared" si="20"/>
        <v>-0.18226666666666702</v>
      </c>
      <c r="E251" s="1">
        <f t="shared" si="21"/>
        <v>3.3342044268469206E-2</v>
      </c>
      <c r="F251" s="1">
        <f t="shared" si="22"/>
        <v>-0.39787537760180325</v>
      </c>
      <c r="G251" s="2" t="b">
        <f t="shared" si="23"/>
        <v>1</v>
      </c>
      <c r="H251" s="1" t="b">
        <f t="shared" si="24"/>
        <v>0</v>
      </c>
      <c r="I251" s="1" t="b">
        <f t="shared" si="25"/>
        <v>1</v>
      </c>
    </row>
    <row r="252" spans="1:9" x14ac:dyDescent="0.2">
      <c r="A252" s="1" t="s">
        <v>267</v>
      </c>
      <c r="B252" s="1">
        <v>2.6905111111111113</v>
      </c>
      <c r="C252" s="1">
        <v>0.32099230209118867</v>
      </c>
      <c r="D252" s="1">
        <f t="shared" si="20"/>
        <v>-2.3094888888888887</v>
      </c>
      <c r="E252" s="1">
        <f t="shared" si="21"/>
        <v>-1.9884965867977</v>
      </c>
      <c r="F252" s="1">
        <f t="shared" si="22"/>
        <v>-2.6304811909800776</v>
      </c>
      <c r="G252" s="2" t="b">
        <f t="shared" si="23"/>
        <v>0</v>
      </c>
      <c r="H252" s="1" t="b">
        <f t="shared" si="24"/>
        <v>0</v>
      </c>
      <c r="I252" s="1" t="b">
        <f t="shared" si="25"/>
        <v>0</v>
      </c>
    </row>
    <row r="253" spans="1:9" x14ac:dyDescent="0.2">
      <c r="A253" s="1" t="s">
        <v>268</v>
      </c>
      <c r="B253" s="1">
        <v>4.4111555555555553</v>
      </c>
      <c r="C253" s="1">
        <v>0.40551420140544503</v>
      </c>
      <c r="D253" s="1">
        <f t="shared" si="20"/>
        <v>-0.58884444444444473</v>
      </c>
      <c r="E253" s="1">
        <f t="shared" si="21"/>
        <v>-0.1833302430389997</v>
      </c>
      <c r="F253" s="1">
        <f t="shared" si="22"/>
        <v>-0.99435864584988976</v>
      </c>
      <c r="G253" s="2" t="b">
        <f t="shared" si="23"/>
        <v>0</v>
      </c>
      <c r="H253" s="1" t="b">
        <f t="shared" si="24"/>
        <v>0</v>
      </c>
      <c r="I253" s="1" t="b">
        <f t="shared" si="25"/>
        <v>0</v>
      </c>
    </row>
    <row r="254" spans="1:9" x14ac:dyDescent="0.2">
      <c r="A254" s="1" t="s">
        <v>269</v>
      </c>
      <c r="B254" s="1">
        <v>4.9980000000000011</v>
      </c>
      <c r="C254" s="1">
        <v>0.14601556269960989</v>
      </c>
      <c r="D254" s="1">
        <f t="shared" si="20"/>
        <v>-1.9999999999988916E-3</v>
      </c>
      <c r="E254" s="1">
        <f t="shared" si="21"/>
        <v>0.14401556269961099</v>
      </c>
      <c r="F254" s="1">
        <f t="shared" si="22"/>
        <v>-0.14801556269960878</v>
      </c>
      <c r="G254" s="2" t="b">
        <f t="shared" si="23"/>
        <v>1</v>
      </c>
      <c r="H254" s="1" t="b">
        <f t="shared" si="24"/>
        <v>0</v>
      </c>
      <c r="I254" s="1" t="b">
        <f t="shared" si="25"/>
        <v>1</v>
      </c>
    </row>
    <row r="255" spans="1:9" x14ac:dyDescent="0.2">
      <c r="A255" s="1" t="s">
        <v>270</v>
      </c>
      <c r="B255" s="1">
        <v>2.389222222222223</v>
      </c>
      <c r="C255" s="1">
        <v>0.34027321677340788</v>
      </c>
      <c r="D255" s="1">
        <f t="shared" si="20"/>
        <v>-2.610777777777777</v>
      </c>
      <c r="E255" s="1">
        <f t="shared" si="21"/>
        <v>-2.270504561004369</v>
      </c>
      <c r="F255" s="1">
        <f t="shared" si="22"/>
        <v>-2.9510509945511849</v>
      </c>
      <c r="G255" s="2" t="b">
        <f t="shared" si="23"/>
        <v>0</v>
      </c>
      <c r="H255" s="1" t="b">
        <f t="shared" si="24"/>
        <v>0</v>
      </c>
      <c r="I255" s="1" t="b">
        <f t="shared" si="25"/>
        <v>0</v>
      </c>
    </row>
    <row r="256" spans="1:9" x14ac:dyDescent="0.2">
      <c r="A256" s="1" t="s">
        <v>271</v>
      </c>
      <c r="B256" s="1">
        <v>4.7139555555555539</v>
      </c>
      <c r="C256" s="1">
        <v>0.22871074112933096</v>
      </c>
      <c r="D256" s="1">
        <f t="shared" si="20"/>
        <v>-0.2860444444444461</v>
      </c>
      <c r="E256" s="1">
        <f t="shared" si="21"/>
        <v>-5.7333703315115142E-2</v>
      </c>
      <c r="F256" s="1">
        <f t="shared" si="22"/>
        <v>-0.51475518557377709</v>
      </c>
      <c r="G256" s="2" t="b">
        <f t="shared" si="23"/>
        <v>0</v>
      </c>
      <c r="H256" s="1" t="b">
        <f t="shared" si="24"/>
        <v>0</v>
      </c>
      <c r="I256" s="1" t="b">
        <f t="shared" si="25"/>
        <v>0</v>
      </c>
    </row>
    <row r="257" spans="1:9" x14ac:dyDescent="0.2">
      <c r="A257" s="1" t="s">
        <v>272</v>
      </c>
      <c r="B257" s="1">
        <v>5.3184888888888899</v>
      </c>
      <c r="C257" s="1">
        <v>0.22108754169001255</v>
      </c>
      <c r="D257" s="1">
        <f t="shared" si="20"/>
        <v>0.31848888888888993</v>
      </c>
      <c r="E257" s="1">
        <f t="shared" si="21"/>
        <v>0.53957643057890248</v>
      </c>
      <c r="F257" s="1">
        <f t="shared" si="22"/>
        <v>9.7401347198877386E-2</v>
      </c>
      <c r="G257" s="2" t="b">
        <f t="shared" si="23"/>
        <v>0</v>
      </c>
      <c r="H257" s="1" t="b">
        <f t="shared" si="24"/>
        <v>1</v>
      </c>
      <c r="I257" s="1" t="b">
        <f t="shared" si="25"/>
        <v>1</v>
      </c>
    </row>
    <row r="258" spans="1:9" x14ac:dyDescent="0.2">
      <c r="A258" s="1" t="s">
        <v>273</v>
      </c>
      <c r="B258" s="1">
        <v>3.3695555555555563</v>
      </c>
      <c r="C258" s="1">
        <v>0.24733857313017463</v>
      </c>
      <c r="D258" s="1">
        <f t="shared" si="20"/>
        <v>-1.6304444444444437</v>
      </c>
      <c r="E258" s="1">
        <f t="shared" si="21"/>
        <v>-1.383105871314269</v>
      </c>
      <c r="F258" s="1">
        <f t="shared" si="22"/>
        <v>-1.8777830175746184</v>
      </c>
      <c r="G258" s="2" t="b">
        <f t="shared" si="23"/>
        <v>0</v>
      </c>
      <c r="H258" s="1" t="b">
        <f t="shared" si="24"/>
        <v>0</v>
      </c>
      <c r="I258" s="1" t="b">
        <f t="shared" si="25"/>
        <v>0</v>
      </c>
    </row>
    <row r="259" spans="1:9" x14ac:dyDescent="0.2">
      <c r="A259" s="1" t="s">
        <v>274</v>
      </c>
      <c r="B259" s="1">
        <v>4.1238666666666672</v>
      </c>
      <c r="C259" s="1">
        <v>0.32536927278699085</v>
      </c>
      <c r="D259" s="1">
        <f t="shared" ref="D259:D306" si="26">B259-5</f>
        <v>-0.87613333333333276</v>
      </c>
      <c r="E259" s="1">
        <f t="shared" ref="E259:E306" si="27">D259+C259</f>
        <v>-0.55076406054634197</v>
      </c>
      <c r="F259" s="1">
        <f t="shared" ref="F259:F306" si="28">D259-C259</f>
        <v>-1.2015026061203236</v>
      </c>
      <c r="G259" s="2" t="b">
        <f t="shared" ref="G259:G306" si="29">AND(E259 &lt;= $L$2, F259 &gt;= -$L$2, ISNUMBER(SEARCH("hq", A259)))</f>
        <v>0</v>
      </c>
      <c r="H259" s="1" t="b">
        <f t="shared" ref="H259:H306" si="30">AND(D259&gt;0, F259&gt;=-$L$2, E259&gt;$L$2, ISNUMBER(SEARCH("hq", A259)))</f>
        <v>0</v>
      </c>
      <c r="I259" s="1" t="b">
        <f t="shared" ref="I259:I306" si="31">AND(OR(G259=TRUE, H259=TRUE), ISNUMBER(SEARCH("hq", A259)))</f>
        <v>0</v>
      </c>
    </row>
    <row r="260" spans="1:9" x14ac:dyDescent="0.2">
      <c r="A260" s="1" t="s">
        <v>275</v>
      </c>
      <c r="B260" s="1">
        <v>5.0134888888888884</v>
      </c>
      <c r="C260" s="1">
        <v>0.17641929781959931</v>
      </c>
      <c r="D260" s="1">
        <f t="shared" si="26"/>
        <v>1.348888888888844E-2</v>
      </c>
      <c r="E260" s="1">
        <f t="shared" si="27"/>
        <v>0.18990818670848775</v>
      </c>
      <c r="F260" s="1">
        <f t="shared" si="28"/>
        <v>-0.16293040893071087</v>
      </c>
      <c r="G260" s="2" t="b">
        <f t="shared" si="29"/>
        <v>1</v>
      </c>
      <c r="H260" s="1" t="b">
        <f t="shared" si="30"/>
        <v>0</v>
      </c>
      <c r="I260" s="1" t="b">
        <f t="shared" si="31"/>
        <v>1</v>
      </c>
    </row>
    <row r="261" spans="1:9" x14ac:dyDescent="0.2">
      <c r="A261" s="1" t="s">
        <v>276</v>
      </c>
      <c r="B261" s="1">
        <v>2.4728222222222218</v>
      </c>
      <c r="C261" s="1">
        <v>0.42416135874873168</v>
      </c>
      <c r="D261" s="1">
        <f t="shared" si="26"/>
        <v>-2.5271777777777782</v>
      </c>
      <c r="E261" s="1">
        <f t="shared" si="27"/>
        <v>-2.1030164190290463</v>
      </c>
      <c r="F261" s="1">
        <f t="shared" si="28"/>
        <v>-2.95133913652651</v>
      </c>
      <c r="G261" s="2" t="b">
        <f t="shared" si="29"/>
        <v>0</v>
      </c>
      <c r="H261" s="1" t="b">
        <f t="shared" si="30"/>
        <v>0</v>
      </c>
      <c r="I261" s="1" t="b">
        <f t="shared" si="31"/>
        <v>0</v>
      </c>
    </row>
    <row r="262" spans="1:9" x14ac:dyDescent="0.2">
      <c r="A262" s="1" t="s">
        <v>277</v>
      </c>
      <c r="B262" s="1">
        <v>4.7202222222222217</v>
      </c>
      <c r="C262" s="1">
        <v>0.31898778711096343</v>
      </c>
      <c r="D262" s="1">
        <f t="shared" si="26"/>
        <v>-0.27977777777777835</v>
      </c>
      <c r="E262" s="1">
        <f t="shared" si="27"/>
        <v>3.9210009333185081E-2</v>
      </c>
      <c r="F262" s="1">
        <f t="shared" si="28"/>
        <v>-0.59876556488874177</v>
      </c>
      <c r="G262" s="2" t="b">
        <f t="shared" si="29"/>
        <v>0</v>
      </c>
      <c r="H262" s="1" t="b">
        <f t="shared" si="30"/>
        <v>0</v>
      </c>
      <c r="I262" s="1" t="b">
        <f t="shared" si="31"/>
        <v>0</v>
      </c>
    </row>
    <row r="263" spans="1:9" x14ac:dyDescent="0.2">
      <c r="A263" s="1" t="s">
        <v>278</v>
      </c>
      <c r="B263" s="1">
        <v>5.0662888888888897</v>
      </c>
      <c r="C263" s="1">
        <v>0.18439413860340365</v>
      </c>
      <c r="D263" s="1">
        <f t="shared" si="26"/>
        <v>6.628888888888973E-2</v>
      </c>
      <c r="E263" s="1">
        <f t="shared" si="27"/>
        <v>0.25068302749229338</v>
      </c>
      <c r="F263" s="1">
        <f t="shared" si="28"/>
        <v>-0.11810524971451392</v>
      </c>
      <c r="G263" s="2" t="b">
        <f t="shared" si="29"/>
        <v>1</v>
      </c>
      <c r="H263" s="1" t="b">
        <f t="shared" si="30"/>
        <v>0</v>
      </c>
      <c r="I263" s="1" t="b">
        <f t="shared" si="31"/>
        <v>1</v>
      </c>
    </row>
    <row r="264" spans="1:9" x14ac:dyDescent="0.2">
      <c r="A264" s="1" t="s">
        <v>279</v>
      </c>
      <c r="B264" s="1">
        <v>3.5201111111111123</v>
      </c>
      <c r="C264" s="1">
        <v>0.36962940304205633</v>
      </c>
      <c r="D264" s="1">
        <f t="shared" si="26"/>
        <v>-1.4798888888888877</v>
      </c>
      <c r="E264" s="1">
        <f t="shared" si="27"/>
        <v>-1.1102594858468313</v>
      </c>
      <c r="F264" s="1">
        <f t="shared" si="28"/>
        <v>-1.8495182919309441</v>
      </c>
      <c r="G264" s="2" t="b">
        <f t="shared" si="29"/>
        <v>0</v>
      </c>
      <c r="H264" s="1" t="b">
        <f t="shared" si="30"/>
        <v>0</v>
      </c>
      <c r="I264" s="1" t="b">
        <f t="shared" si="31"/>
        <v>0</v>
      </c>
    </row>
    <row r="265" spans="1:9" x14ac:dyDescent="0.2">
      <c r="A265" s="1" t="s">
        <v>280</v>
      </c>
      <c r="B265" s="1">
        <v>4.7280222222222212</v>
      </c>
      <c r="C265" s="1">
        <v>0.30612159602506184</v>
      </c>
      <c r="D265" s="1">
        <f t="shared" si="26"/>
        <v>-0.27197777777777876</v>
      </c>
      <c r="E265" s="1">
        <f t="shared" si="27"/>
        <v>3.4143818247283075E-2</v>
      </c>
      <c r="F265" s="1">
        <f t="shared" si="28"/>
        <v>-0.5780993738028406</v>
      </c>
      <c r="G265" s="2" t="b">
        <f t="shared" si="29"/>
        <v>0</v>
      </c>
      <c r="H265" s="1" t="b">
        <f t="shared" si="30"/>
        <v>0</v>
      </c>
      <c r="I265" s="1" t="b">
        <f t="shared" si="31"/>
        <v>0</v>
      </c>
    </row>
    <row r="266" spans="1:9" x14ac:dyDescent="0.2">
      <c r="A266" s="1" t="s">
        <v>281</v>
      </c>
      <c r="B266" s="1">
        <v>5.0275333333333325</v>
      </c>
      <c r="C266" s="1">
        <v>0.16104327640706259</v>
      </c>
      <c r="D266" s="1">
        <f t="shared" si="26"/>
        <v>2.7533333333332521E-2</v>
      </c>
      <c r="E266" s="1">
        <f t="shared" si="27"/>
        <v>0.18857660974039511</v>
      </c>
      <c r="F266" s="1">
        <f t="shared" si="28"/>
        <v>-0.13350994307373007</v>
      </c>
      <c r="G266" s="2" t="b">
        <f t="shared" si="29"/>
        <v>1</v>
      </c>
      <c r="H266" s="1" t="b">
        <f t="shared" si="30"/>
        <v>0</v>
      </c>
      <c r="I266" s="1" t="b">
        <f t="shared" si="31"/>
        <v>1</v>
      </c>
    </row>
    <row r="267" spans="1:9" x14ac:dyDescent="0.2">
      <c r="A267" s="1" t="s">
        <v>282</v>
      </c>
      <c r="B267" s="1">
        <v>2.4756666666666662</v>
      </c>
      <c r="C267" s="1">
        <v>0.34414878618571065</v>
      </c>
      <c r="D267" s="1">
        <f t="shared" si="26"/>
        <v>-2.5243333333333338</v>
      </c>
      <c r="E267" s="1">
        <f t="shared" si="27"/>
        <v>-2.1801845471476229</v>
      </c>
      <c r="F267" s="1">
        <f t="shared" si="28"/>
        <v>-2.8684821195190446</v>
      </c>
      <c r="G267" s="2" t="b">
        <f t="shared" si="29"/>
        <v>0</v>
      </c>
      <c r="H267" s="1" t="b">
        <f t="shared" si="30"/>
        <v>0</v>
      </c>
      <c r="I267" s="1" t="b">
        <f t="shared" si="31"/>
        <v>0</v>
      </c>
    </row>
    <row r="268" spans="1:9" x14ac:dyDescent="0.2">
      <c r="A268" s="1" t="s">
        <v>283</v>
      </c>
      <c r="B268" s="1">
        <v>4.0665999999999993</v>
      </c>
      <c r="C268" s="1">
        <v>0.28390550020599509</v>
      </c>
      <c r="D268" s="1">
        <f t="shared" si="26"/>
        <v>-0.93340000000000067</v>
      </c>
      <c r="E268" s="1">
        <f t="shared" si="27"/>
        <v>-0.64949449979400553</v>
      </c>
      <c r="F268" s="1">
        <f t="shared" si="28"/>
        <v>-1.2173055002059958</v>
      </c>
      <c r="G268" s="2" t="b">
        <f t="shared" si="29"/>
        <v>0</v>
      </c>
      <c r="H268" s="1" t="b">
        <f t="shared" si="30"/>
        <v>0</v>
      </c>
      <c r="I268" s="1" t="b">
        <f t="shared" si="31"/>
        <v>0</v>
      </c>
    </row>
    <row r="269" spans="1:9" x14ac:dyDescent="0.2">
      <c r="A269" s="1" t="s">
        <v>284</v>
      </c>
      <c r="B269" s="1">
        <v>5.1312888888888883</v>
      </c>
      <c r="C269" s="1">
        <v>0.13069378956844813</v>
      </c>
      <c r="D269" s="1">
        <f t="shared" si="26"/>
        <v>0.13128888888888834</v>
      </c>
      <c r="E269" s="1">
        <f t="shared" si="27"/>
        <v>0.26198267845733647</v>
      </c>
      <c r="F269" s="1">
        <f t="shared" si="28"/>
        <v>5.9509932044021774E-4</v>
      </c>
      <c r="G269" s="2" t="b">
        <f t="shared" si="29"/>
        <v>1</v>
      </c>
      <c r="H269" s="1" t="b">
        <f t="shared" si="30"/>
        <v>0</v>
      </c>
      <c r="I269" s="1" t="b">
        <f t="shared" si="31"/>
        <v>1</v>
      </c>
    </row>
    <row r="270" spans="1:9" x14ac:dyDescent="0.2">
      <c r="A270" s="1" t="s">
        <v>285</v>
      </c>
      <c r="B270" s="1">
        <v>2.8518222222222231</v>
      </c>
      <c r="C270" s="1">
        <v>0.37992590694363421</v>
      </c>
      <c r="D270" s="1">
        <f t="shared" si="26"/>
        <v>-2.1481777777777769</v>
      </c>
      <c r="E270" s="1">
        <f t="shared" si="27"/>
        <v>-1.7682518708341426</v>
      </c>
      <c r="F270" s="1">
        <f t="shared" si="28"/>
        <v>-2.5281036847214109</v>
      </c>
      <c r="G270" s="2" t="b">
        <f t="shared" si="29"/>
        <v>0</v>
      </c>
      <c r="H270" s="1" t="b">
        <f t="shared" si="30"/>
        <v>0</v>
      </c>
      <c r="I270" s="1" t="b">
        <f t="shared" si="31"/>
        <v>0</v>
      </c>
    </row>
    <row r="271" spans="1:9" x14ac:dyDescent="0.2">
      <c r="A271" s="1" t="s">
        <v>286</v>
      </c>
      <c r="B271" s="1">
        <v>4.0654666666666675</v>
      </c>
      <c r="C271" s="1">
        <v>0.42900454940940042</v>
      </c>
      <c r="D271" s="1">
        <f t="shared" si="26"/>
        <v>-0.93453333333333255</v>
      </c>
      <c r="E271" s="1">
        <f t="shared" si="27"/>
        <v>-0.50552878392393219</v>
      </c>
      <c r="F271" s="1">
        <f t="shared" si="28"/>
        <v>-1.3635378827427329</v>
      </c>
      <c r="G271" s="2" t="b">
        <f t="shared" si="29"/>
        <v>0</v>
      </c>
      <c r="H271" s="1" t="b">
        <f t="shared" si="30"/>
        <v>0</v>
      </c>
      <c r="I271" s="1" t="b">
        <f t="shared" si="31"/>
        <v>0</v>
      </c>
    </row>
    <row r="272" spans="1:9" x14ac:dyDescent="0.2">
      <c r="A272" s="1" t="s">
        <v>287</v>
      </c>
      <c r="B272" s="1">
        <v>4.9514222222222228</v>
      </c>
      <c r="C272" s="1">
        <v>0.10686900527813809</v>
      </c>
      <c r="D272" s="1">
        <f t="shared" si="26"/>
        <v>-4.8577777777777165E-2</v>
      </c>
      <c r="E272" s="1">
        <f t="shared" si="27"/>
        <v>5.829122750036092E-2</v>
      </c>
      <c r="F272" s="1">
        <f t="shared" si="28"/>
        <v>-0.15544678305591525</v>
      </c>
      <c r="G272" s="2" t="b">
        <f t="shared" si="29"/>
        <v>1</v>
      </c>
      <c r="H272" s="1" t="b">
        <f t="shared" si="30"/>
        <v>0</v>
      </c>
      <c r="I272" s="1" t="b">
        <f t="shared" si="31"/>
        <v>1</v>
      </c>
    </row>
    <row r="273" spans="1:9" x14ac:dyDescent="0.2">
      <c r="A273" s="1" t="s">
        <v>288</v>
      </c>
      <c r="B273" s="1">
        <v>1.8959333333333337</v>
      </c>
      <c r="C273" s="1">
        <v>0.21635216877741861</v>
      </c>
      <c r="D273" s="1">
        <f t="shared" si="26"/>
        <v>-3.1040666666666663</v>
      </c>
      <c r="E273" s="1">
        <f t="shared" si="27"/>
        <v>-2.8877144978892475</v>
      </c>
      <c r="F273" s="1">
        <f t="shared" si="28"/>
        <v>-3.3204188354440851</v>
      </c>
      <c r="G273" s="2" t="b">
        <f t="shared" si="29"/>
        <v>0</v>
      </c>
      <c r="H273" s="1" t="b">
        <f t="shared" si="30"/>
        <v>0</v>
      </c>
      <c r="I273" s="1" t="b">
        <f t="shared" si="31"/>
        <v>0</v>
      </c>
    </row>
    <row r="274" spans="1:9" x14ac:dyDescent="0.2">
      <c r="A274" s="1" t="s">
        <v>289</v>
      </c>
      <c r="B274" s="1">
        <v>4.6839777777777769</v>
      </c>
      <c r="C274" s="1">
        <v>0.3306281545866509</v>
      </c>
      <c r="D274" s="1">
        <f t="shared" si="26"/>
        <v>-0.31602222222222309</v>
      </c>
      <c r="E274" s="1">
        <f t="shared" si="27"/>
        <v>1.4605932364427809E-2</v>
      </c>
      <c r="F274" s="1">
        <f t="shared" si="28"/>
        <v>-0.64665037680887405</v>
      </c>
      <c r="G274" s="2" t="b">
        <f t="shared" si="29"/>
        <v>0</v>
      </c>
      <c r="H274" s="1" t="b">
        <f t="shared" si="30"/>
        <v>0</v>
      </c>
      <c r="I274" s="1" t="b">
        <f t="shared" si="31"/>
        <v>0</v>
      </c>
    </row>
    <row r="275" spans="1:9" x14ac:dyDescent="0.2">
      <c r="A275" s="1" t="s">
        <v>290</v>
      </c>
      <c r="B275" s="1">
        <v>5.1045333333333325</v>
      </c>
      <c r="C275" s="1">
        <v>0.22997680086512393</v>
      </c>
      <c r="D275" s="1">
        <f t="shared" si="26"/>
        <v>0.10453333333333248</v>
      </c>
      <c r="E275" s="1">
        <f t="shared" si="27"/>
        <v>0.33451013419845643</v>
      </c>
      <c r="F275" s="1">
        <f t="shared" si="28"/>
        <v>-0.12544346753179145</v>
      </c>
      <c r="G275" s="2" t="b">
        <f t="shared" si="29"/>
        <v>1</v>
      </c>
      <c r="H275" s="1" t="b">
        <f t="shared" si="30"/>
        <v>0</v>
      </c>
      <c r="I275" s="1" t="b">
        <f t="shared" si="31"/>
        <v>1</v>
      </c>
    </row>
    <row r="276" spans="1:9" x14ac:dyDescent="0.2">
      <c r="A276" s="1" t="s">
        <v>291</v>
      </c>
      <c r="B276" s="1">
        <v>2.5053777777777775</v>
      </c>
      <c r="C276" s="1">
        <v>0.31559239827370034</v>
      </c>
      <c r="D276" s="1">
        <f t="shared" si="26"/>
        <v>-2.4946222222222225</v>
      </c>
      <c r="E276" s="1">
        <f t="shared" si="27"/>
        <v>-2.1790298239485222</v>
      </c>
      <c r="F276" s="1">
        <f t="shared" si="28"/>
        <v>-2.8102146204959229</v>
      </c>
      <c r="G276" s="2" t="b">
        <f t="shared" si="29"/>
        <v>0</v>
      </c>
      <c r="H276" s="1" t="b">
        <f t="shared" si="30"/>
        <v>0</v>
      </c>
      <c r="I276" s="1" t="b">
        <f t="shared" si="31"/>
        <v>0</v>
      </c>
    </row>
    <row r="277" spans="1:9" x14ac:dyDescent="0.2">
      <c r="A277" s="1" t="s">
        <v>292</v>
      </c>
      <c r="B277" s="1">
        <v>4.469155555555556</v>
      </c>
      <c r="C277" s="1">
        <v>0.24948218313815132</v>
      </c>
      <c r="D277" s="1">
        <f t="shared" si="26"/>
        <v>-0.53084444444444401</v>
      </c>
      <c r="E277" s="1">
        <f t="shared" si="27"/>
        <v>-0.28136226130629272</v>
      </c>
      <c r="F277" s="1">
        <f t="shared" si="28"/>
        <v>-0.7803266275825953</v>
      </c>
      <c r="G277" s="2" t="b">
        <f t="shared" si="29"/>
        <v>0</v>
      </c>
      <c r="H277" s="1" t="b">
        <f t="shared" si="30"/>
        <v>0</v>
      </c>
      <c r="I277" s="1" t="b">
        <f t="shared" si="31"/>
        <v>0</v>
      </c>
    </row>
    <row r="278" spans="1:9" x14ac:dyDescent="0.2">
      <c r="A278" s="1" t="s">
        <v>293</v>
      </c>
      <c r="B278" s="1">
        <v>4.9679333333333329</v>
      </c>
      <c r="C278" s="1">
        <v>0.27561324438953416</v>
      </c>
      <c r="D278" s="1">
        <f t="shared" si="26"/>
        <v>-3.2066666666667132E-2</v>
      </c>
      <c r="E278" s="1">
        <f t="shared" si="27"/>
        <v>0.24354657772286703</v>
      </c>
      <c r="F278" s="1">
        <f t="shared" si="28"/>
        <v>-0.30767991105620129</v>
      </c>
      <c r="G278" s="2" t="b">
        <f t="shared" si="29"/>
        <v>1</v>
      </c>
      <c r="H278" s="1" t="b">
        <f t="shared" si="30"/>
        <v>0</v>
      </c>
      <c r="I278" s="1" t="b">
        <f t="shared" si="31"/>
        <v>1</v>
      </c>
    </row>
    <row r="279" spans="1:9" x14ac:dyDescent="0.2">
      <c r="A279" s="1" t="s">
        <v>294</v>
      </c>
      <c r="B279" s="1">
        <v>2.363777777777778</v>
      </c>
      <c r="C279" s="1">
        <v>0.28370694375156136</v>
      </c>
      <c r="D279" s="1">
        <f t="shared" si="26"/>
        <v>-2.636222222222222</v>
      </c>
      <c r="E279" s="1">
        <f t="shared" si="27"/>
        <v>-2.3525152784706607</v>
      </c>
      <c r="F279" s="1">
        <f t="shared" si="28"/>
        <v>-2.9199291659737834</v>
      </c>
      <c r="G279" s="2" t="b">
        <f t="shared" si="29"/>
        <v>0</v>
      </c>
      <c r="H279" s="1" t="b">
        <f t="shared" si="30"/>
        <v>0</v>
      </c>
      <c r="I279" s="1" t="b">
        <f t="shared" si="31"/>
        <v>0</v>
      </c>
    </row>
    <row r="280" spans="1:9" x14ac:dyDescent="0.2">
      <c r="A280" s="1" t="s">
        <v>295</v>
      </c>
      <c r="B280" s="1">
        <v>3.8329555555555559</v>
      </c>
      <c r="C280" s="1">
        <v>0.40075188931755057</v>
      </c>
      <c r="D280" s="1">
        <f t="shared" si="26"/>
        <v>-1.1670444444444441</v>
      </c>
      <c r="E280" s="1">
        <f t="shared" si="27"/>
        <v>-0.76629255512689354</v>
      </c>
      <c r="F280" s="1">
        <f t="shared" si="28"/>
        <v>-1.5677963337619947</v>
      </c>
      <c r="G280" s="2" t="b">
        <f t="shared" si="29"/>
        <v>0</v>
      </c>
      <c r="H280" s="1" t="b">
        <f t="shared" si="30"/>
        <v>0</v>
      </c>
      <c r="I280" s="1" t="b">
        <f t="shared" si="31"/>
        <v>0</v>
      </c>
    </row>
    <row r="281" spans="1:9" x14ac:dyDescent="0.2">
      <c r="A281" s="1" t="s">
        <v>296</v>
      </c>
      <c r="B281" s="1">
        <v>5.2127555555555549</v>
      </c>
      <c r="C281" s="1">
        <v>0.22933029752745701</v>
      </c>
      <c r="D281" s="1">
        <f t="shared" si="26"/>
        <v>0.21275555555555492</v>
      </c>
      <c r="E281" s="1">
        <f t="shared" si="27"/>
        <v>0.44208585308301196</v>
      </c>
      <c r="F281" s="1">
        <f t="shared" si="28"/>
        <v>-1.6574741971902091E-2</v>
      </c>
      <c r="G281" s="2" t="b">
        <f t="shared" si="29"/>
        <v>1</v>
      </c>
      <c r="H281" s="1" t="b">
        <f t="shared" si="30"/>
        <v>0</v>
      </c>
      <c r="I281" s="1" t="b">
        <f t="shared" si="31"/>
        <v>1</v>
      </c>
    </row>
    <row r="282" spans="1:9" x14ac:dyDescent="0.2">
      <c r="A282" s="1" t="s">
        <v>297</v>
      </c>
      <c r="B282" s="1">
        <v>4.3465555555555557</v>
      </c>
      <c r="C282" s="1">
        <v>0.43072244184154179</v>
      </c>
      <c r="D282" s="1">
        <f t="shared" si="26"/>
        <v>-0.65344444444444427</v>
      </c>
      <c r="E282" s="1">
        <f t="shared" si="27"/>
        <v>-0.22272200260290248</v>
      </c>
      <c r="F282" s="1">
        <f t="shared" si="28"/>
        <v>-1.0841668862859861</v>
      </c>
      <c r="G282" s="2" t="b">
        <f t="shared" si="29"/>
        <v>0</v>
      </c>
      <c r="H282" s="1" t="b">
        <f t="shared" si="30"/>
        <v>0</v>
      </c>
      <c r="I282" s="1" t="b">
        <f t="shared" si="31"/>
        <v>0</v>
      </c>
    </row>
    <row r="283" spans="1:9" x14ac:dyDescent="0.2">
      <c r="A283" s="1" t="s">
        <v>298</v>
      </c>
      <c r="B283" s="1">
        <v>5.0268222222222221</v>
      </c>
      <c r="C283" s="1">
        <v>0.20916292923823229</v>
      </c>
      <c r="D283" s="1">
        <f t="shared" si="26"/>
        <v>2.6822222222222081E-2</v>
      </c>
      <c r="E283" s="1">
        <f t="shared" si="27"/>
        <v>0.23598515146045437</v>
      </c>
      <c r="F283" s="1">
        <f t="shared" si="28"/>
        <v>-0.18234070701601021</v>
      </c>
      <c r="G283" s="2" t="b">
        <f t="shared" si="29"/>
        <v>1</v>
      </c>
      <c r="H283" s="1" t="b">
        <f t="shared" si="30"/>
        <v>0</v>
      </c>
      <c r="I283" s="1" t="b">
        <f t="shared" si="31"/>
        <v>1</v>
      </c>
    </row>
    <row r="284" spans="1:9" x14ac:dyDescent="0.2">
      <c r="A284" s="1" t="s">
        <v>299</v>
      </c>
      <c r="B284" s="1">
        <v>4.7222666666666662</v>
      </c>
      <c r="C284" s="1">
        <v>0.28747691019181754</v>
      </c>
      <c r="D284" s="1">
        <f t="shared" si="26"/>
        <v>-0.27773333333333383</v>
      </c>
      <c r="E284" s="1">
        <f t="shared" si="27"/>
        <v>9.7435768584837046E-3</v>
      </c>
      <c r="F284" s="1">
        <f t="shared" si="28"/>
        <v>-0.56521024352515137</v>
      </c>
      <c r="G284" s="2" t="b">
        <f t="shared" si="29"/>
        <v>0</v>
      </c>
      <c r="H284" s="1" t="b">
        <f t="shared" si="30"/>
        <v>0</v>
      </c>
      <c r="I284" s="1" t="b">
        <f t="shared" si="31"/>
        <v>0</v>
      </c>
    </row>
    <row r="285" spans="1:9" x14ac:dyDescent="0.2">
      <c r="A285" s="1" t="s">
        <v>300</v>
      </c>
      <c r="B285" s="1">
        <v>4.8731777777777801</v>
      </c>
      <c r="C285" s="1">
        <v>0.21697450338014448</v>
      </c>
      <c r="D285" s="1">
        <f t="shared" si="26"/>
        <v>-0.12682222222221995</v>
      </c>
      <c r="E285" s="1">
        <f t="shared" si="27"/>
        <v>9.0152281157924535E-2</v>
      </c>
      <c r="F285" s="1">
        <f t="shared" si="28"/>
        <v>-0.34379672560236441</v>
      </c>
      <c r="G285" s="2" t="b">
        <f t="shared" si="29"/>
        <v>1</v>
      </c>
      <c r="H285" s="1" t="b">
        <f t="shared" si="30"/>
        <v>0</v>
      </c>
      <c r="I285" s="1" t="b">
        <f t="shared" si="31"/>
        <v>1</v>
      </c>
    </row>
    <row r="286" spans="1:9" x14ac:dyDescent="0.2">
      <c r="A286" s="1" t="s">
        <v>301</v>
      </c>
      <c r="B286" s="1">
        <v>3.4485111111111104</v>
      </c>
      <c r="C286" s="1">
        <v>0.4359336879411338</v>
      </c>
      <c r="D286" s="1">
        <f t="shared" si="26"/>
        <v>-1.5514888888888896</v>
      </c>
      <c r="E286" s="1">
        <f t="shared" si="27"/>
        <v>-1.1155552009477558</v>
      </c>
      <c r="F286" s="1">
        <f t="shared" si="28"/>
        <v>-1.9874225768300233</v>
      </c>
      <c r="G286" s="2" t="b">
        <f t="shared" si="29"/>
        <v>0</v>
      </c>
      <c r="H286" s="1" t="b">
        <f t="shared" si="30"/>
        <v>0</v>
      </c>
      <c r="I286" s="1" t="b">
        <f t="shared" si="31"/>
        <v>0</v>
      </c>
    </row>
    <row r="287" spans="1:9" x14ac:dyDescent="0.2">
      <c r="A287" s="1" t="s">
        <v>302</v>
      </c>
      <c r="B287" s="1">
        <v>5.3691555555555563</v>
      </c>
      <c r="C287" s="1">
        <v>0.33391600677130656</v>
      </c>
      <c r="D287" s="1">
        <f t="shared" si="26"/>
        <v>0.36915555555555635</v>
      </c>
      <c r="E287" s="1">
        <f t="shared" si="27"/>
        <v>0.70307156232686285</v>
      </c>
      <c r="F287" s="1">
        <f t="shared" si="28"/>
        <v>3.5239548784249786E-2</v>
      </c>
      <c r="G287" s="2" t="b">
        <f t="shared" si="29"/>
        <v>0</v>
      </c>
      <c r="H287" s="1" t="b">
        <f t="shared" si="30"/>
        <v>1</v>
      </c>
      <c r="I287" s="1" t="b">
        <f t="shared" si="31"/>
        <v>1</v>
      </c>
    </row>
    <row r="288" spans="1:9" x14ac:dyDescent="0.2">
      <c r="A288" s="1" t="s">
        <v>303</v>
      </c>
      <c r="B288" s="1">
        <v>4.1041333333333334</v>
      </c>
      <c r="C288" s="1">
        <v>0.41554857842282139</v>
      </c>
      <c r="D288" s="1">
        <f t="shared" si="26"/>
        <v>-0.89586666666666659</v>
      </c>
      <c r="E288" s="1">
        <f t="shared" si="27"/>
        <v>-0.4803180882438452</v>
      </c>
      <c r="F288" s="1">
        <f t="shared" si="28"/>
        <v>-1.311415245089488</v>
      </c>
      <c r="G288" s="2" t="b">
        <f t="shared" si="29"/>
        <v>0</v>
      </c>
      <c r="H288" s="1" t="b">
        <f t="shared" si="30"/>
        <v>0</v>
      </c>
      <c r="I288" s="1" t="b">
        <f t="shared" si="31"/>
        <v>0</v>
      </c>
    </row>
    <row r="289" spans="1:9" x14ac:dyDescent="0.2">
      <c r="A289" s="1" t="s">
        <v>304</v>
      </c>
      <c r="B289" s="1">
        <v>4.7740888888888886</v>
      </c>
      <c r="C289" s="1">
        <v>0.21683774368656883</v>
      </c>
      <c r="D289" s="1">
        <f t="shared" si="26"/>
        <v>-0.2259111111111114</v>
      </c>
      <c r="E289" s="1">
        <f t="shared" si="27"/>
        <v>-9.0733674245425666E-3</v>
      </c>
      <c r="F289" s="1">
        <f t="shared" si="28"/>
        <v>-0.44274885479768022</v>
      </c>
      <c r="G289" s="2" t="b">
        <f t="shared" si="29"/>
        <v>1</v>
      </c>
      <c r="H289" s="1" t="b">
        <f t="shared" si="30"/>
        <v>0</v>
      </c>
      <c r="I289" s="1" t="b">
        <f t="shared" si="31"/>
        <v>1</v>
      </c>
    </row>
    <row r="290" spans="1:9" x14ac:dyDescent="0.2">
      <c r="A290" s="1" t="s">
        <v>305</v>
      </c>
      <c r="B290" s="1">
        <v>3.8658444444444435</v>
      </c>
      <c r="C290" s="1">
        <v>0.4504395373230996</v>
      </c>
      <c r="D290" s="1">
        <f t="shared" si="26"/>
        <v>-1.1341555555555565</v>
      </c>
      <c r="E290" s="1">
        <f t="shared" si="27"/>
        <v>-0.68371601823245687</v>
      </c>
      <c r="F290" s="1">
        <f t="shared" si="28"/>
        <v>-1.5845950928786561</v>
      </c>
      <c r="G290" s="2" t="b">
        <f t="shared" si="29"/>
        <v>0</v>
      </c>
      <c r="H290" s="1" t="b">
        <f t="shared" si="30"/>
        <v>0</v>
      </c>
      <c r="I290" s="1" t="b">
        <f t="shared" si="31"/>
        <v>0</v>
      </c>
    </row>
    <row r="291" spans="1:9" x14ac:dyDescent="0.2">
      <c r="A291" s="1" t="s">
        <v>306</v>
      </c>
      <c r="B291" s="1">
        <v>5.4448000000000008</v>
      </c>
      <c r="C291" s="1">
        <v>0.40582584513064479</v>
      </c>
      <c r="D291" s="1">
        <f t="shared" si="26"/>
        <v>0.44480000000000075</v>
      </c>
      <c r="E291" s="1">
        <f t="shared" si="27"/>
        <v>0.85062584513064554</v>
      </c>
      <c r="F291" s="1">
        <f t="shared" si="28"/>
        <v>3.8974154869355959E-2</v>
      </c>
      <c r="G291" s="2" t="b">
        <f t="shared" si="29"/>
        <v>0</v>
      </c>
      <c r="H291" s="1" t="b">
        <f t="shared" si="30"/>
        <v>1</v>
      </c>
      <c r="I291" s="1" t="b">
        <f t="shared" si="31"/>
        <v>1</v>
      </c>
    </row>
    <row r="292" spans="1:9" x14ac:dyDescent="0.2">
      <c r="A292" s="1" t="s">
        <v>307</v>
      </c>
      <c r="B292" s="1">
        <v>4.9000222222222227</v>
      </c>
      <c r="C292" s="1">
        <v>0.39447011598102472</v>
      </c>
      <c r="D292" s="1">
        <f t="shared" si="26"/>
        <v>-9.9977777777777277E-2</v>
      </c>
      <c r="E292" s="1">
        <f t="shared" si="27"/>
        <v>0.29449233820324744</v>
      </c>
      <c r="F292" s="1">
        <f t="shared" si="28"/>
        <v>-0.49444789375880199</v>
      </c>
      <c r="G292" s="2" t="b">
        <f t="shared" si="29"/>
        <v>0</v>
      </c>
      <c r="H292" s="1" t="b">
        <f t="shared" si="30"/>
        <v>0</v>
      </c>
      <c r="I292" s="1" t="b">
        <f t="shared" si="31"/>
        <v>0</v>
      </c>
    </row>
    <row r="293" spans="1:9" x14ac:dyDescent="0.2">
      <c r="A293" s="1" t="s">
        <v>308</v>
      </c>
      <c r="B293" s="1">
        <v>4.8135555555555554</v>
      </c>
      <c r="C293" s="1">
        <v>0.21857858032667959</v>
      </c>
      <c r="D293" s="1">
        <f t="shared" si="26"/>
        <v>-0.18644444444444463</v>
      </c>
      <c r="E293" s="1">
        <f t="shared" si="27"/>
        <v>3.213413588223496E-2</v>
      </c>
      <c r="F293" s="1">
        <f t="shared" si="28"/>
        <v>-0.40502302477112423</v>
      </c>
      <c r="G293" s="2" t="b">
        <f t="shared" si="29"/>
        <v>1</v>
      </c>
      <c r="H293" s="1" t="b">
        <f t="shared" si="30"/>
        <v>0</v>
      </c>
      <c r="I293" s="1" t="b">
        <f t="shared" si="31"/>
        <v>1</v>
      </c>
    </row>
    <row r="294" spans="1:9" x14ac:dyDescent="0.2">
      <c r="A294" s="1" t="s">
        <v>309</v>
      </c>
      <c r="B294" s="1">
        <v>3.8506000000000009</v>
      </c>
      <c r="C294" s="1">
        <v>0.47611901862130501</v>
      </c>
      <c r="D294" s="1">
        <f t="shared" si="26"/>
        <v>-1.1493999999999991</v>
      </c>
      <c r="E294" s="1">
        <f t="shared" si="27"/>
        <v>-0.67328098137869408</v>
      </c>
      <c r="F294" s="1">
        <f t="shared" si="28"/>
        <v>-1.6255190186213042</v>
      </c>
      <c r="G294" s="2" t="b">
        <f t="shared" si="29"/>
        <v>0</v>
      </c>
      <c r="H294" s="1" t="b">
        <f t="shared" si="30"/>
        <v>0</v>
      </c>
      <c r="I294" s="1" t="b">
        <f t="shared" si="31"/>
        <v>0</v>
      </c>
    </row>
    <row r="295" spans="1:9" x14ac:dyDescent="0.2">
      <c r="A295" s="1" t="s">
        <v>310</v>
      </c>
      <c r="B295" s="1">
        <v>4.9362222222222236</v>
      </c>
      <c r="C295" s="1">
        <v>0.14327133361896116</v>
      </c>
      <c r="D295" s="1">
        <f t="shared" si="26"/>
        <v>-6.3777777777776379E-2</v>
      </c>
      <c r="E295" s="1">
        <f t="shared" si="27"/>
        <v>7.9493555841184782E-2</v>
      </c>
      <c r="F295" s="1">
        <f t="shared" si="28"/>
        <v>-0.20704911139673754</v>
      </c>
      <c r="G295" s="2" t="b">
        <f t="shared" si="29"/>
        <v>1</v>
      </c>
      <c r="H295" s="1" t="b">
        <f t="shared" si="30"/>
        <v>0</v>
      </c>
      <c r="I295" s="1" t="b">
        <f t="shared" si="31"/>
        <v>1</v>
      </c>
    </row>
    <row r="296" spans="1:9" x14ac:dyDescent="0.2">
      <c r="A296" s="1" t="s">
        <v>311</v>
      </c>
      <c r="B296" s="1">
        <v>4.8176666666666659</v>
      </c>
      <c r="C296" s="1">
        <v>0.23523180408063871</v>
      </c>
      <c r="D296" s="1">
        <f t="shared" si="26"/>
        <v>-0.18233333333333412</v>
      </c>
      <c r="E296" s="1">
        <f t="shared" si="27"/>
        <v>5.2898470747304582E-2</v>
      </c>
      <c r="F296" s="1">
        <f t="shared" si="28"/>
        <v>-0.41756513741397283</v>
      </c>
      <c r="G296" s="2" t="b">
        <f t="shared" si="29"/>
        <v>0</v>
      </c>
      <c r="H296" s="1" t="b">
        <f t="shared" si="30"/>
        <v>0</v>
      </c>
      <c r="I296" s="1" t="b">
        <f t="shared" si="31"/>
        <v>0</v>
      </c>
    </row>
    <row r="297" spans="1:9" x14ac:dyDescent="0.2">
      <c r="A297" s="1" t="s">
        <v>312</v>
      </c>
      <c r="B297" s="1">
        <v>5.0600666666666676</v>
      </c>
      <c r="C297" s="1">
        <v>0.18977250582626995</v>
      </c>
      <c r="D297" s="1">
        <f t="shared" si="26"/>
        <v>6.0066666666667601E-2</v>
      </c>
      <c r="E297" s="1">
        <f t="shared" si="27"/>
        <v>0.24983917249293755</v>
      </c>
      <c r="F297" s="1">
        <f t="shared" si="28"/>
        <v>-0.12970583915960235</v>
      </c>
      <c r="G297" s="2" t="b">
        <f t="shared" si="29"/>
        <v>1</v>
      </c>
      <c r="H297" s="1" t="b">
        <f t="shared" si="30"/>
        <v>0</v>
      </c>
      <c r="I297" s="1" t="b">
        <f t="shared" si="31"/>
        <v>1</v>
      </c>
    </row>
    <row r="298" spans="1:9" x14ac:dyDescent="0.2">
      <c r="A298" s="1" t="s">
        <v>313</v>
      </c>
      <c r="B298" s="1">
        <v>4.8012222222222221</v>
      </c>
      <c r="C298" s="1">
        <v>0.34168074243830265</v>
      </c>
      <c r="D298" s="1">
        <f t="shared" si="26"/>
        <v>-0.19877777777777794</v>
      </c>
      <c r="E298" s="1">
        <f t="shared" si="27"/>
        <v>0.14290296466052471</v>
      </c>
      <c r="F298" s="1">
        <f t="shared" si="28"/>
        <v>-0.54045852021608054</v>
      </c>
      <c r="G298" s="2" t="b">
        <f t="shared" si="29"/>
        <v>0</v>
      </c>
      <c r="H298" s="1" t="b">
        <f t="shared" si="30"/>
        <v>0</v>
      </c>
      <c r="I298" s="1" t="b">
        <f t="shared" si="31"/>
        <v>0</v>
      </c>
    </row>
    <row r="299" spans="1:9" x14ac:dyDescent="0.2">
      <c r="A299" s="1" t="s">
        <v>314</v>
      </c>
      <c r="B299" s="1">
        <v>4.0461111111111112</v>
      </c>
      <c r="C299" s="1">
        <v>0.2544848397363928</v>
      </c>
      <c r="D299" s="1">
        <f t="shared" si="26"/>
        <v>-0.95388888888888879</v>
      </c>
      <c r="E299" s="1">
        <f t="shared" si="27"/>
        <v>-0.69940404915249599</v>
      </c>
      <c r="F299" s="1">
        <f t="shared" si="28"/>
        <v>-1.2083737286252816</v>
      </c>
      <c r="G299" s="2" t="b">
        <f t="shared" si="29"/>
        <v>0</v>
      </c>
      <c r="H299" s="1" t="b">
        <f t="shared" si="30"/>
        <v>0</v>
      </c>
      <c r="I299" s="1" t="b">
        <f t="shared" si="31"/>
        <v>0</v>
      </c>
    </row>
    <row r="300" spans="1:9" x14ac:dyDescent="0.2">
      <c r="A300" s="1" t="s">
        <v>315</v>
      </c>
      <c r="B300" s="1">
        <v>3.9938666666666642</v>
      </c>
      <c r="C300" s="1">
        <v>0.26784177697851369</v>
      </c>
      <c r="D300" s="1">
        <f t="shared" si="26"/>
        <v>-1.0061333333333358</v>
      </c>
      <c r="E300" s="1">
        <f t="shared" si="27"/>
        <v>-0.73829155635482202</v>
      </c>
      <c r="F300" s="1">
        <f t="shared" si="28"/>
        <v>-1.2739751103118495</v>
      </c>
      <c r="G300" s="2" t="b">
        <f t="shared" si="29"/>
        <v>0</v>
      </c>
      <c r="H300" s="1" t="b">
        <f t="shared" si="30"/>
        <v>0</v>
      </c>
      <c r="I300" s="1" t="b">
        <f t="shared" si="31"/>
        <v>0</v>
      </c>
    </row>
    <row r="301" spans="1:9" x14ac:dyDescent="0.2">
      <c r="A301" s="1" t="s">
        <v>316</v>
      </c>
      <c r="B301" s="1">
        <v>5.0468666666666664</v>
      </c>
      <c r="C301" s="1">
        <v>0.1353391500142816</v>
      </c>
      <c r="D301" s="1">
        <f t="shared" si="26"/>
        <v>4.686666666666639E-2</v>
      </c>
      <c r="E301" s="1">
        <f t="shared" si="27"/>
        <v>0.18220581668094799</v>
      </c>
      <c r="F301" s="1">
        <f t="shared" si="28"/>
        <v>-8.8472483347615205E-2</v>
      </c>
      <c r="G301" s="2" t="b">
        <f t="shared" si="29"/>
        <v>1</v>
      </c>
      <c r="H301" s="1" t="b">
        <f t="shared" si="30"/>
        <v>0</v>
      </c>
      <c r="I301" s="1" t="b">
        <f t="shared" si="31"/>
        <v>1</v>
      </c>
    </row>
    <row r="302" spans="1:9" x14ac:dyDescent="0.2">
      <c r="A302" s="1" t="s">
        <v>317</v>
      </c>
      <c r="B302" s="1">
        <v>4.6041333333333316</v>
      </c>
      <c r="C302" s="1">
        <v>0.32295977684321092</v>
      </c>
      <c r="D302" s="1">
        <f t="shared" si="26"/>
        <v>-0.39586666666666837</v>
      </c>
      <c r="E302" s="1">
        <f t="shared" si="27"/>
        <v>-7.2906889823457444E-2</v>
      </c>
      <c r="F302" s="1">
        <f t="shared" si="28"/>
        <v>-0.71882644350987923</v>
      </c>
      <c r="G302" s="2" t="b">
        <f t="shared" si="29"/>
        <v>0</v>
      </c>
      <c r="H302" s="1" t="b">
        <f t="shared" si="30"/>
        <v>0</v>
      </c>
      <c r="I302" s="1" t="b">
        <f t="shared" si="31"/>
        <v>0</v>
      </c>
    </row>
    <row r="303" spans="1:9" x14ac:dyDescent="0.2">
      <c r="A303" s="1" t="s">
        <v>318</v>
      </c>
      <c r="B303" s="1">
        <v>5.3222666666666658</v>
      </c>
      <c r="C303" s="1">
        <v>0.24288542366691385</v>
      </c>
      <c r="D303" s="1">
        <f t="shared" si="26"/>
        <v>0.32226666666666581</v>
      </c>
      <c r="E303" s="1">
        <f t="shared" si="27"/>
        <v>0.5651520903335796</v>
      </c>
      <c r="F303" s="1">
        <f t="shared" si="28"/>
        <v>7.9381242999751966E-2</v>
      </c>
      <c r="G303" s="2" t="b">
        <f t="shared" si="29"/>
        <v>0</v>
      </c>
      <c r="H303" s="1" t="b">
        <f t="shared" si="30"/>
        <v>1</v>
      </c>
      <c r="I303" s="1" t="b">
        <f t="shared" si="31"/>
        <v>1</v>
      </c>
    </row>
    <row r="304" spans="1:9" x14ac:dyDescent="0.2">
      <c r="A304" s="1" t="s">
        <v>319</v>
      </c>
      <c r="B304" s="1">
        <v>4.5848000000000004</v>
      </c>
      <c r="C304" s="1">
        <v>0.25144786940244923</v>
      </c>
      <c r="D304" s="1">
        <f t="shared" si="26"/>
        <v>-0.41519999999999957</v>
      </c>
      <c r="E304" s="1">
        <f t="shared" si="27"/>
        <v>-0.16375213059755034</v>
      </c>
      <c r="F304" s="1">
        <f t="shared" si="28"/>
        <v>-0.6666478694024488</v>
      </c>
      <c r="G304" s="2" t="b">
        <f t="shared" si="29"/>
        <v>0</v>
      </c>
      <c r="H304" s="1" t="b">
        <f t="shared" si="30"/>
        <v>0</v>
      </c>
      <c r="I304" s="1" t="b">
        <f t="shared" si="31"/>
        <v>0</v>
      </c>
    </row>
    <row r="305" spans="1:9" x14ac:dyDescent="0.2">
      <c r="A305" s="1" t="s">
        <v>320</v>
      </c>
      <c r="B305" s="1">
        <v>4.9670444444444453</v>
      </c>
      <c r="C305" s="1">
        <v>0.23572299166197425</v>
      </c>
      <c r="D305" s="1">
        <f t="shared" si="26"/>
        <v>-3.2955555555554739E-2</v>
      </c>
      <c r="E305" s="1">
        <f t="shared" si="27"/>
        <v>0.20276743610641951</v>
      </c>
      <c r="F305" s="1">
        <f t="shared" si="28"/>
        <v>-0.26867854721752898</v>
      </c>
      <c r="G305" s="2" t="b">
        <f t="shared" si="29"/>
        <v>1</v>
      </c>
      <c r="H305" s="1" t="b">
        <f t="shared" si="30"/>
        <v>0</v>
      </c>
      <c r="I305" s="1" t="b">
        <f t="shared" si="31"/>
        <v>1</v>
      </c>
    </row>
    <row r="306" spans="1:9" x14ac:dyDescent="0.2">
      <c r="A306" s="1" t="s">
        <v>321</v>
      </c>
      <c r="B306" s="1">
        <v>4.4691111111111113</v>
      </c>
      <c r="C306" s="1">
        <v>0.26624965974774367</v>
      </c>
      <c r="D306" s="1">
        <f t="shared" si="26"/>
        <v>-0.53088888888888874</v>
      </c>
      <c r="E306" s="1">
        <f t="shared" si="27"/>
        <v>-0.26463922914114507</v>
      </c>
      <c r="F306" s="1">
        <f t="shared" si="28"/>
        <v>-0.79713854863663247</v>
      </c>
      <c r="G306" s="2" t="b">
        <f t="shared" si="29"/>
        <v>0</v>
      </c>
      <c r="H306" s="1" t="b">
        <f t="shared" si="30"/>
        <v>0</v>
      </c>
      <c r="I306" s="1" t="b">
        <f t="shared" si="31"/>
        <v>0</v>
      </c>
    </row>
    <row r="314" spans="1:9" x14ac:dyDescent="0.2">
      <c r="A314" s="1" t="s">
        <v>6</v>
      </c>
      <c r="B314" s="1">
        <v>11</v>
      </c>
    </row>
    <row r="315" spans="1:9" x14ac:dyDescent="0.2">
      <c r="A315" s="1" t="s">
        <v>10</v>
      </c>
    </row>
    <row r="316" spans="1:9" x14ac:dyDescent="0.2">
      <c r="A316" s="1" t="s">
        <v>19</v>
      </c>
    </row>
    <row r="317" spans="1:9" x14ac:dyDescent="0.2">
      <c r="A317" s="1" t="s">
        <v>31</v>
      </c>
    </row>
    <row r="318" spans="1:9" x14ac:dyDescent="0.2">
      <c r="A318" s="1" t="s">
        <v>35</v>
      </c>
    </row>
    <row r="319" spans="1:9" x14ac:dyDescent="0.2">
      <c r="A319" s="1" t="s">
        <v>38</v>
      </c>
    </row>
    <row r="320" spans="1:9" x14ac:dyDescent="0.2">
      <c r="A320" s="1" t="s">
        <v>41</v>
      </c>
    </row>
    <row r="321" spans="1:2" x14ac:dyDescent="0.2">
      <c r="A321" s="1" t="s">
        <v>44</v>
      </c>
    </row>
    <row r="322" spans="1:2" x14ac:dyDescent="0.2">
      <c r="A322" s="1" t="s">
        <v>47</v>
      </c>
    </row>
    <row r="323" spans="1:2" x14ac:dyDescent="0.2">
      <c r="A323" s="1" t="s">
        <v>50</v>
      </c>
    </row>
    <row r="324" spans="1:2" x14ac:dyDescent="0.2">
      <c r="A324" s="1" t="s">
        <v>53</v>
      </c>
    </row>
    <row r="325" spans="1:2" x14ac:dyDescent="0.2">
      <c r="A325" s="1" t="s">
        <v>56</v>
      </c>
      <c r="B325" s="1">
        <v>12</v>
      </c>
    </row>
    <row r="326" spans="1:2" x14ac:dyDescent="0.2">
      <c r="A326" s="1" t="s">
        <v>59</v>
      </c>
    </row>
    <row r="327" spans="1:2" x14ac:dyDescent="0.2">
      <c r="A327" s="1" t="s">
        <v>62</v>
      </c>
    </row>
    <row r="328" spans="1:2" x14ac:dyDescent="0.2">
      <c r="A328" s="1" t="s">
        <v>65</v>
      </c>
    </row>
    <row r="329" spans="1:2" x14ac:dyDescent="0.2">
      <c r="A329" s="1" t="s">
        <v>68</v>
      </c>
    </row>
    <row r="330" spans="1:2" x14ac:dyDescent="0.2">
      <c r="A330" s="1" t="s">
        <v>74</v>
      </c>
    </row>
    <row r="331" spans="1:2" x14ac:dyDescent="0.2">
      <c r="A331" s="1" t="s">
        <v>77</v>
      </c>
    </row>
    <row r="332" spans="1:2" x14ac:dyDescent="0.2">
      <c r="A332" s="1" t="s">
        <v>80</v>
      </c>
    </row>
    <row r="333" spans="1:2" x14ac:dyDescent="0.2">
      <c r="A333" s="1" t="s">
        <v>83</v>
      </c>
    </row>
    <row r="334" spans="1:2" x14ac:dyDescent="0.2">
      <c r="A334" s="1" t="s">
        <v>86</v>
      </c>
    </row>
    <row r="335" spans="1:2" x14ac:dyDescent="0.2">
      <c r="A335" s="1" t="s">
        <v>89</v>
      </c>
    </row>
    <row r="336" spans="1:2" x14ac:dyDescent="0.2">
      <c r="A336" s="1" t="s">
        <v>92</v>
      </c>
    </row>
    <row r="337" spans="1:2" x14ac:dyDescent="0.2">
      <c r="A337" s="1" t="s">
        <v>95</v>
      </c>
      <c r="B337" s="1">
        <v>13</v>
      </c>
    </row>
    <row r="338" spans="1:2" x14ac:dyDescent="0.2">
      <c r="A338" s="1" t="s">
        <v>96</v>
      </c>
    </row>
    <row r="339" spans="1:2" x14ac:dyDescent="0.2">
      <c r="A339" s="1" t="s">
        <v>97</v>
      </c>
    </row>
    <row r="340" spans="1:2" x14ac:dyDescent="0.2">
      <c r="A340" s="1" t="s">
        <v>98</v>
      </c>
    </row>
    <row r="341" spans="1:2" x14ac:dyDescent="0.2">
      <c r="A341" s="1" t="s">
        <v>99</v>
      </c>
    </row>
    <row r="342" spans="1:2" x14ac:dyDescent="0.2">
      <c r="A342" s="1" t="s">
        <v>100</v>
      </c>
    </row>
    <row r="343" spans="1:2" x14ac:dyDescent="0.2">
      <c r="A343" s="1" t="s">
        <v>101</v>
      </c>
    </row>
    <row r="344" spans="1:2" x14ac:dyDescent="0.2">
      <c r="A344" s="1" t="s">
        <v>102</v>
      </c>
    </row>
    <row r="345" spans="1:2" x14ac:dyDescent="0.2">
      <c r="A345" s="1" t="s">
        <v>103</v>
      </c>
    </row>
    <row r="346" spans="1:2" x14ac:dyDescent="0.2">
      <c r="A346" s="1" t="s">
        <v>104</v>
      </c>
    </row>
    <row r="347" spans="1:2" x14ac:dyDescent="0.2">
      <c r="A347" s="1" t="s">
        <v>105</v>
      </c>
    </row>
    <row r="348" spans="1:2" x14ac:dyDescent="0.2">
      <c r="A348" s="1" t="s">
        <v>106</v>
      </c>
    </row>
    <row r="349" spans="1:2" x14ac:dyDescent="0.2">
      <c r="A349" s="1" t="s">
        <v>107</v>
      </c>
    </row>
    <row r="350" spans="1:2" x14ac:dyDescent="0.2">
      <c r="A350" s="1" t="s">
        <v>108</v>
      </c>
      <c r="B350" s="1">
        <v>11</v>
      </c>
    </row>
    <row r="351" spans="1:2" x14ac:dyDescent="0.2">
      <c r="A351" s="1" t="s">
        <v>111</v>
      </c>
    </row>
    <row r="352" spans="1:2" x14ac:dyDescent="0.2">
      <c r="A352" s="1" t="s">
        <v>114</v>
      </c>
    </row>
    <row r="353" spans="1:2" x14ac:dyDescent="0.2">
      <c r="A353" s="1" t="s">
        <v>117</v>
      </c>
    </row>
    <row r="354" spans="1:2" x14ac:dyDescent="0.2">
      <c r="A354" s="1" t="s">
        <v>122</v>
      </c>
    </row>
    <row r="355" spans="1:2" x14ac:dyDescent="0.2">
      <c r="A355" s="1" t="s">
        <v>125</v>
      </c>
    </row>
    <row r="356" spans="1:2" x14ac:dyDescent="0.2">
      <c r="A356" s="1" t="s">
        <v>129</v>
      </c>
    </row>
    <row r="357" spans="1:2" x14ac:dyDescent="0.2">
      <c r="A357" s="1" t="s">
        <v>134</v>
      </c>
    </row>
    <row r="358" spans="1:2" x14ac:dyDescent="0.2">
      <c r="A358" s="1" t="s">
        <v>137</v>
      </c>
    </row>
    <row r="359" spans="1:2" x14ac:dyDescent="0.2">
      <c r="A359" s="1" t="s">
        <v>139</v>
      </c>
    </row>
    <row r="360" spans="1:2" x14ac:dyDescent="0.2">
      <c r="A360" s="1" t="s">
        <v>140</v>
      </c>
    </row>
    <row r="361" spans="1:2" x14ac:dyDescent="0.2">
      <c r="A361" s="1" t="s">
        <v>145</v>
      </c>
      <c r="B361" s="1">
        <v>12</v>
      </c>
    </row>
    <row r="362" spans="1:2" x14ac:dyDescent="0.2">
      <c r="A362" s="1" t="s">
        <v>150</v>
      </c>
    </row>
    <row r="363" spans="1:2" x14ac:dyDescent="0.2">
      <c r="A363" s="1" t="s">
        <v>153</v>
      </c>
    </row>
    <row r="364" spans="1:2" x14ac:dyDescent="0.2">
      <c r="A364" s="1" t="s">
        <v>156</v>
      </c>
    </row>
    <row r="365" spans="1:2" x14ac:dyDescent="0.2">
      <c r="A365" s="1" t="s">
        <v>159</v>
      </c>
    </row>
    <row r="366" spans="1:2" x14ac:dyDescent="0.2">
      <c r="A366" s="1" t="s">
        <v>162</v>
      </c>
    </row>
    <row r="367" spans="1:2" x14ac:dyDescent="0.2">
      <c r="A367" s="1" t="s">
        <v>165</v>
      </c>
    </row>
    <row r="368" spans="1:2" x14ac:dyDescent="0.2">
      <c r="A368" s="1" t="s">
        <v>168</v>
      </c>
    </row>
    <row r="369" spans="1:2" x14ac:dyDescent="0.2">
      <c r="A369" s="1" t="s">
        <v>171</v>
      </c>
    </row>
    <row r="370" spans="1:2" x14ac:dyDescent="0.2">
      <c r="A370" s="1" t="s">
        <v>173</v>
      </c>
    </row>
    <row r="371" spans="1:2" x14ac:dyDescent="0.2">
      <c r="A371" s="1" t="s">
        <v>176</v>
      </c>
    </row>
    <row r="372" spans="1:2" x14ac:dyDescent="0.2">
      <c r="A372" s="1" t="s">
        <v>178</v>
      </c>
    </row>
    <row r="373" spans="1:2" x14ac:dyDescent="0.2">
      <c r="A373" s="1" t="s">
        <v>179</v>
      </c>
      <c r="B373" s="1">
        <v>11</v>
      </c>
    </row>
    <row r="374" spans="1:2" x14ac:dyDescent="0.2">
      <c r="A374" s="1" t="s">
        <v>182</v>
      </c>
    </row>
    <row r="375" spans="1:2" x14ac:dyDescent="0.2">
      <c r="A375" s="1" t="s">
        <v>185</v>
      </c>
    </row>
    <row r="376" spans="1:2" x14ac:dyDescent="0.2">
      <c r="A376" s="1" t="s">
        <v>191</v>
      </c>
    </row>
    <row r="377" spans="1:2" x14ac:dyDescent="0.2">
      <c r="A377" s="1" t="s">
        <v>194</v>
      </c>
    </row>
    <row r="378" spans="1:2" x14ac:dyDescent="0.2">
      <c r="A378" s="1" t="s">
        <v>200</v>
      </c>
    </row>
    <row r="379" spans="1:2" x14ac:dyDescent="0.2">
      <c r="A379" s="1" t="s">
        <v>203</v>
      </c>
    </row>
    <row r="380" spans="1:2" x14ac:dyDescent="0.2">
      <c r="A380" s="1" t="s">
        <v>206</v>
      </c>
    </row>
    <row r="381" spans="1:2" x14ac:dyDescent="0.2">
      <c r="A381" s="1" t="s">
        <v>209</v>
      </c>
    </row>
    <row r="382" spans="1:2" x14ac:dyDescent="0.2">
      <c r="A382" s="1" t="s">
        <v>212</v>
      </c>
    </row>
    <row r="383" spans="1:2" x14ac:dyDescent="0.2">
      <c r="A383" s="1" t="s">
        <v>215</v>
      </c>
    </row>
    <row r="384" spans="1:2" x14ac:dyDescent="0.2">
      <c r="A384" s="1" t="s">
        <v>227</v>
      </c>
      <c r="B384" s="1">
        <v>8</v>
      </c>
    </row>
    <row r="385" spans="1:2" x14ac:dyDescent="0.2">
      <c r="A385" s="1" t="s">
        <v>230</v>
      </c>
    </row>
    <row r="386" spans="1:2" x14ac:dyDescent="0.2">
      <c r="A386" s="1" t="s">
        <v>236</v>
      </c>
    </row>
    <row r="387" spans="1:2" x14ac:dyDescent="0.2">
      <c r="A387" s="1" t="s">
        <v>239</v>
      </c>
    </row>
    <row r="388" spans="1:2" x14ac:dyDescent="0.2">
      <c r="A388" s="1" t="s">
        <v>242</v>
      </c>
    </row>
    <row r="389" spans="1:2" x14ac:dyDescent="0.2">
      <c r="A389" s="1" t="s">
        <v>245</v>
      </c>
    </row>
    <row r="390" spans="1:2" x14ac:dyDescent="0.2">
      <c r="A390" s="1" t="s">
        <v>248</v>
      </c>
    </row>
    <row r="391" spans="1:2" x14ac:dyDescent="0.2">
      <c r="A391" s="1" t="s">
        <v>254</v>
      </c>
    </row>
    <row r="392" spans="1:2" x14ac:dyDescent="0.2">
      <c r="A392" s="1" t="s">
        <v>257</v>
      </c>
      <c r="B392" s="1">
        <v>12</v>
      </c>
    </row>
    <row r="393" spans="1:2" x14ac:dyDescent="0.2">
      <c r="A393" s="1" t="s">
        <v>263</v>
      </c>
    </row>
    <row r="394" spans="1:2" x14ac:dyDescent="0.2">
      <c r="A394" s="1" t="s">
        <v>266</v>
      </c>
    </row>
    <row r="395" spans="1:2" x14ac:dyDescent="0.2">
      <c r="A395" s="1" t="s">
        <v>269</v>
      </c>
    </row>
    <row r="396" spans="1:2" x14ac:dyDescent="0.2">
      <c r="A396" s="1" t="s">
        <v>272</v>
      </c>
    </row>
    <row r="397" spans="1:2" x14ac:dyDescent="0.2">
      <c r="A397" s="1" t="s">
        <v>275</v>
      </c>
    </row>
    <row r="398" spans="1:2" x14ac:dyDescent="0.2">
      <c r="A398" s="1" t="s">
        <v>278</v>
      </c>
    </row>
    <row r="399" spans="1:2" x14ac:dyDescent="0.2">
      <c r="A399" s="1" t="s">
        <v>281</v>
      </c>
    </row>
    <row r="400" spans="1:2" x14ac:dyDescent="0.2">
      <c r="A400" s="1" t="s">
        <v>284</v>
      </c>
    </row>
    <row r="401" spans="1:2" x14ac:dyDescent="0.2">
      <c r="A401" s="1" t="s">
        <v>287</v>
      </c>
    </row>
    <row r="402" spans="1:2" x14ac:dyDescent="0.2">
      <c r="A402" s="1" t="s">
        <v>290</v>
      </c>
    </row>
    <row r="403" spans="1:2" x14ac:dyDescent="0.2">
      <c r="A403" s="1" t="s">
        <v>293</v>
      </c>
    </row>
    <row r="404" spans="1:2" x14ac:dyDescent="0.2">
      <c r="A404" s="1" t="s">
        <v>296</v>
      </c>
      <c r="B404" s="1">
        <v>13</v>
      </c>
    </row>
    <row r="405" spans="1:2" x14ac:dyDescent="0.2">
      <c r="A405" s="1" t="s">
        <v>298</v>
      </c>
    </row>
    <row r="406" spans="1:2" x14ac:dyDescent="0.2">
      <c r="A406" s="1" t="s">
        <v>300</v>
      </c>
    </row>
    <row r="407" spans="1:2" x14ac:dyDescent="0.2">
      <c r="A407" s="1" t="s">
        <v>302</v>
      </c>
    </row>
    <row r="408" spans="1:2" x14ac:dyDescent="0.2">
      <c r="A408" s="1" t="s">
        <v>304</v>
      </c>
    </row>
    <row r="409" spans="1:2" x14ac:dyDescent="0.2">
      <c r="A409" s="1" t="s">
        <v>306</v>
      </c>
    </row>
    <row r="410" spans="1:2" x14ac:dyDescent="0.2">
      <c r="A410" s="1" t="s">
        <v>308</v>
      </c>
    </row>
    <row r="411" spans="1:2" x14ac:dyDescent="0.2">
      <c r="A411" s="1" t="s">
        <v>310</v>
      </c>
    </row>
    <row r="412" spans="1:2" x14ac:dyDescent="0.2">
      <c r="A412" s="1" t="s">
        <v>311</v>
      </c>
    </row>
    <row r="413" spans="1:2" x14ac:dyDescent="0.2">
      <c r="A413" s="1" t="s">
        <v>312</v>
      </c>
    </row>
    <row r="414" spans="1:2" x14ac:dyDescent="0.2">
      <c r="A414" s="1" t="s">
        <v>316</v>
      </c>
    </row>
    <row r="415" spans="1:2" x14ac:dyDescent="0.2">
      <c r="A415" s="1" t="s">
        <v>318</v>
      </c>
    </row>
    <row r="416" spans="1:2" x14ac:dyDescent="0.2">
      <c r="A416" s="1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2026-04-06T15:48:01Z</dcterms:created>
  <dcterms:modified xsi:type="dcterms:W3CDTF">2026-04-06T15:53:59Z</dcterms:modified>
</cp:coreProperties>
</file>